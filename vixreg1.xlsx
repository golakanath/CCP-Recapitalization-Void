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F6043F86-88C4-448F-9DFE-55C0F7FD58B0}" xr6:coauthVersionLast="47" xr6:coauthVersionMax="47" xr10:uidLastSave="{00000000-0000-0000-0000-000000000000}"/>
  <bookViews>
    <workbookView xWindow="-110" yWindow="-110" windowWidth="19420" windowHeight="10300" xr2:uid="{105B66A2-1BF7-428A-96F0-FB507CE4A1FF}"/>
  </bookViews>
  <sheets>
    <sheet name="RESULTS (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3" i="1"/>
  <c r="K16" i="1"/>
  <c r="K28" i="1"/>
  <c r="K40" i="1"/>
  <c r="K52" i="1"/>
  <c r="K64" i="1"/>
  <c r="K76" i="1"/>
  <c r="L8" i="1"/>
  <c r="L14" i="1"/>
  <c r="L16" i="1"/>
  <c r="L20" i="1"/>
  <c r="L24" i="1"/>
  <c r="L26" i="1"/>
  <c r="L37" i="1"/>
  <c r="L44" i="1"/>
  <c r="L48" i="1"/>
  <c r="L49" i="1"/>
  <c r="L50" i="1"/>
  <c r="L56" i="1"/>
  <c r="L62" i="1"/>
  <c r="L64" i="1"/>
  <c r="L72" i="1"/>
  <c r="L73" i="1"/>
  <c r="L74" i="1"/>
  <c r="L76" i="1"/>
  <c r="L80" i="1"/>
  <c r="F4" i="1"/>
  <c r="L5" i="1" s="1"/>
  <c r="F5" i="1"/>
  <c r="L6" i="1" s="1"/>
  <c r="F6" i="1"/>
  <c r="L7" i="1" s="1"/>
  <c r="F7" i="1"/>
  <c r="F8" i="1"/>
  <c r="L9" i="1" s="1"/>
  <c r="F9" i="1"/>
  <c r="L10" i="1" s="1"/>
  <c r="F10" i="1"/>
  <c r="L11" i="1" s="1"/>
  <c r="F11" i="1"/>
  <c r="L12" i="1" s="1"/>
  <c r="F12" i="1"/>
  <c r="L13" i="1" s="1"/>
  <c r="G12" i="1"/>
  <c r="K13" i="1" s="1"/>
  <c r="F13" i="1"/>
  <c r="F14" i="1"/>
  <c r="L15" i="1" s="1"/>
  <c r="F15" i="1"/>
  <c r="F16" i="1"/>
  <c r="L17" i="1" s="1"/>
  <c r="F17" i="1"/>
  <c r="L18" i="1" s="1"/>
  <c r="F18" i="1"/>
  <c r="L19" i="1" s="1"/>
  <c r="F19" i="1"/>
  <c r="F20" i="1"/>
  <c r="L21" i="1" s="1"/>
  <c r="F21" i="1"/>
  <c r="L22" i="1" s="1"/>
  <c r="F22" i="1"/>
  <c r="L23" i="1" s="1"/>
  <c r="F23" i="1"/>
  <c r="F24" i="1"/>
  <c r="L25" i="1" s="1"/>
  <c r="F25" i="1"/>
  <c r="F26" i="1"/>
  <c r="L27" i="1" s="1"/>
  <c r="F27" i="1"/>
  <c r="L28" i="1" s="1"/>
  <c r="F28" i="1"/>
  <c r="L29" i="1" s="1"/>
  <c r="F29" i="1"/>
  <c r="L30" i="1" s="1"/>
  <c r="F30" i="1"/>
  <c r="L31" i="1" s="1"/>
  <c r="F31" i="1"/>
  <c r="L32" i="1" s="1"/>
  <c r="F32" i="1"/>
  <c r="L33" i="1" s="1"/>
  <c r="F33" i="1"/>
  <c r="L34" i="1" s="1"/>
  <c r="F34" i="1"/>
  <c r="L35" i="1" s="1"/>
  <c r="F35" i="1"/>
  <c r="L36" i="1" s="1"/>
  <c r="F36" i="1"/>
  <c r="F37" i="1"/>
  <c r="L38" i="1" s="1"/>
  <c r="F38" i="1"/>
  <c r="L39" i="1" s="1"/>
  <c r="F39" i="1"/>
  <c r="L40" i="1" s="1"/>
  <c r="F40" i="1"/>
  <c r="L41" i="1" s="1"/>
  <c r="G40" i="1"/>
  <c r="K41" i="1" s="1"/>
  <c r="F41" i="1"/>
  <c r="L42" i="1" s="1"/>
  <c r="F42" i="1"/>
  <c r="L43" i="1" s="1"/>
  <c r="F43" i="1"/>
  <c r="F44" i="1"/>
  <c r="L45" i="1" s="1"/>
  <c r="F45" i="1"/>
  <c r="L46" i="1" s="1"/>
  <c r="F46" i="1"/>
  <c r="L47" i="1" s="1"/>
  <c r="F47" i="1"/>
  <c r="F48" i="1"/>
  <c r="F49" i="1"/>
  <c r="F50" i="1"/>
  <c r="L51" i="1" s="1"/>
  <c r="F51" i="1"/>
  <c r="L52" i="1" s="1"/>
  <c r="F52" i="1"/>
  <c r="L53" i="1" s="1"/>
  <c r="F53" i="1"/>
  <c r="L54" i="1" s="1"/>
  <c r="F54" i="1"/>
  <c r="L55" i="1" s="1"/>
  <c r="F55" i="1"/>
  <c r="F56" i="1"/>
  <c r="L57" i="1" s="1"/>
  <c r="F57" i="1"/>
  <c r="L58" i="1" s="1"/>
  <c r="F58" i="1"/>
  <c r="L59" i="1" s="1"/>
  <c r="F59" i="1"/>
  <c r="L60" i="1" s="1"/>
  <c r="F60" i="1"/>
  <c r="L61" i="1" s="1"/>
  <c r="G60" i="1"/>
  <c r="K61" i="1" s="1"/>
  <c r="F61" i="1"/>
  <c r="F62" i="1"/>
  <c r="L63" i="1" s="1"/>
  <c r="F63" i="1"/>
  <c r="F64" i="1"/>
  <c r="L65" i="1" s="1"/>
  <c r="F65" i="1"/>
  <c r="L66" i="1" s="1"/>
  <c r="F66" i="1"/>
  <c r="L67" i="1" s="1"/>
  <c r="F67" i="1"/>
  <c r="L68" i="1" s="1"/>
  <c r="F68" i="1"/>
  <c r="L69" i="1" s="1"/>
  <c r="F69" i="1"/>
  <c r="L70" i="1" s="1"/>
  <c r="F70" i="1"/>
  <c r="L71" i="1" s="1"/>
  <c r="F71" i="1"/>
  <c r="F72" i="1"/>
  <c r="F73" i="1"/>
  <c r="F74" i="1"/>
  <c r="L75" i="1" s="1"/>
  <c r="F75" i="1"/>
  <c r="F76" i="1"/>
  <c r="L77" i="1" s="1"/>
  <c r="F77" i="1"/>
  <c r="L78" i="1" s="1"/>
  <c r="F78" i="1"/>
  <c r="L79" i="1" s="1"/>
  <c r="F79" i="1"/>
  <c r="F80" i="1"/>
  <c r="F3" i="1"/>
  <c r="L4" i="1" s="1"/>
  <c r="E80" i="1"/>
  <c r="D80" i="1"/>
  <c r="C80" i="1"/>
  <c r="G80" i="1" s="1"/>
  <c r="E79" i="1"/>
  <c r="D79" i="1"/>
  <c r="C79" i="1"/>
  <c r="G79" i="1" s="1"/>
  <c r="K80" i="1" s="1"/>
  <c r="E78" i="1"/>
  <c r="H78" i="1" s="1"/>
  <c r="D78" i="1"/>
  <c r="C78" i="1"/>
  <c r="E77" i="1"/>
  <c r="D77" i="1"/>
  <c r="C77" i="1"/>
  <c r="E76" i="1"/>
  <c r="D76" i="1"/>
  <c r="C76" i="1"/>
  <c r="E75" i="1"/>
  <c r="D75" i="1"/>
  <c r="C75" i="1"/>
  <c r="G75" i="1" s="1"/>
  <c r="E74" i="1"/>
  <c r="H74" i="1" s="1"/>
  <c r="D74" i="1"/>
  <c r="C74" i="1"/>
  <c r="E73" i="1"/>
  <c r="D73" i="1"/>
  <c r="C73" i="1"/>
  <c r="E72" i="1"/>
  <c r="D72" i="1"/>
  <c r="C72" i="1"/>
  <c r="G72" i="1" s="1"/>
  <c r="K73" i="1" s="1"/>
  <c r="E71" i="1"/>
  <c r="D71" i="1"/>
  <c r="C71" i="1"/>
  <c r="G71" i="1" s="1"/>
  <c r="K72" i="1" s="1"/>
  <c r="E70" i="1"/>
  <c r="H71" i="1" s="1"/>
  <c r="D70" i="1"/>
  <c r="C70" i="1"/>
  <c r="E69" i="1"/>
  <c r="D69" i="1"/>
  <c r="C69" i="1"/>
  <c r="E68" i="1"/>
  <c r="D68" i="1"/>
  <c r="C68" i="1"/>
  <c r="E67" i="1"/>
  <c r="D67" i="1"/>
  <c r="C67" i="1"/>
  <c r="G67" i="1" s="1"/>
  <c r="K68" i="1" s="1"/>
  <c r="E66" i="1"/>
  <c r="H66" i="1" s="1"/>
  <c r="D66" i="1"/>
  <c r="C66" i="1"/>
  <c r="E65" i="1"/>
  <c r="D65" i="1"/>
  <c r="C65" i="1"/>
  <c r="E64" i="1"/>
  <c r="D64" i="1"/>
  <c r="C64" i="1"/>
  <c r="G64" i="1" s="1"/>
  <c r="K65" i="1" s="1"/>
  <c r="E63" i="1"/>
  <c r="D63" i="1"/>
  <c r="C63" i="1"/>
  <c r="G63" i="1" s="1"/>
  <c r="E62" i="1"/>
  <c r="H63" i="1" s="1"/>
  <c r="D62" i="1"/>
  <c r="C62" i="1"/>
  <c r="E61" i="1"/>
  <c r="D61" i="1"/>
  <c r="C61" i="1"/>
  <c r="E60" i="1"/>
  <c r="D60" i="1"/>
  <c r="C60" i="1"/>
  <c r="E59" i="1"/>
  <c r="D59" i="1"/>
  <c r="C59" i="1"/>
  <c r="G59" i="1" s="1"/>
  <c r="K60" i="1" s="1"/>
  <c r="E58" i="1"/>
  <c r="H58" i="1" s="1"/>
  <c r="D58" i="1"/>
  <c r="C58" i="1"/>
  <c r="E57" i="1"/>
  <c r="D57" i="1"/>
  <c r="C57" i="1"/>
  <c r="E56" i="1"/>
  <c r="D56" i="1"/>
  <c r="C56" i="1"/>
  <c r="G56" i="1" s="1"/>
  <c r="K57" i="1" s="1"/>
  <c r="E55" i="1"/>
  <c r="D55" i="1"/>
  <c r="C55" i="1"/>
  <c r="G55" i="1" s="1"/>
  <c r="K56" i="1" s="1"/>
  <c r="E54" i="1"/>
  <c r="H55" i="1" s="1"/>
  <c r="D54" i="1"/>
  <c r="C54" i="1"/>
  <c r="E53" i="1"/>
  <c r="D53" i="1"/>
  <c r="C53" i="1"/>
  <c r="E52" i="1"/>
  <c r="D52" i="1"/>
  <c r="C52" i="1"/>
  <c r="G52" i="1" s="1"/>
  <c r="K53" i="1" s="1"/>
  <c r="E51" i="1"/>
  <c r="D51" i="1"/>
  <c r="C51" i="1"/>
  <c r="G51" i="1" s="1"/>
  <c r="E50" i="1"/>
  <c r="H50" i="1" s="1"/>
  <c r="D50" i="1"/>
  <c r="C50" i="1"/>
  <c r="E49" i="1"/>
  <c r="D49" i="1"/>
  <c r="C49" i="1"/>
  <c r="E48" i="1"/>
  <c r="D48" i="1"/>
  <c r="C48" i="1"/>
  <c r="E47" i="1"/>
  <c r="D47" i="1"/>
  <c r="C47" i="1"/>
  <c r="G47" i="1" s="1"/>
  <c r="K48" i="1" s="1"/>
  <c r="E46" i="1"/>
  <c r="H47" i="1" s="1"/>
  <c r="D46" i="1"/>
  <c r="C46" i="1"/>
  <c r="E45" i="1"/>
  <c r="D45" i="1"/>
  <c r="C45" i="1"/>
  <c r="E44" i="1"/>
  <c r="D44" i="1"/>
  <c r="C44" i="1"/>
  <c r="G44" i="1" s="1"/>
  <c r="K45" i="1" s="1"/>
  <c r="E43" i="1"/>
  <c r="D43" i="1"/>
  <c r="C43" i="1"/>
  <c r="G43" i="1" s="1"/>
  <c r="K44" i="1" s="1"/>
  <c r="E42" i="1"/>
  <c r="H42" i="1" s="1"/>
  <c r="D42" i="1"/>
  <c r="C42" i="1"/>
  <c r="E41" i="1"/>
  <c r="D41" i="1"/>
  <c r="C41" i="1"/>
  <c r="E40" i="1"/>
  <c r="D40" i="1"/>
  <c r="C40" i="1"/>
  <c r="E39" i="1"/>
  <c r="D39" i="1"/>
  <c r="C39" i="1"/>
  <c r="G39" i="1" s="1"/>
  <c r="E38" i="1"/>
  <c r="H38" i="1" s="1"/>
  <c r="D38" i="1"/>
  <c r="C38" i="1"/>
  <c r="E37" i="1"/>
  <c r="D37" i="1"/>
  <c r="C37" i="1"/>
  <c r="E36" i="1"/>
  <c r="D36" i="1"/>
  <c r="C36" i="1"/>
  <c r="G36" i="1" s="1"/>
  <c r="K37" i="1" s="1"/>
  <c r="E35" i="1"/>
  <c r="D35" i="1"/>
  <c r="C35" i="1"/>
  <c r="G35" i="1" s="1"/>
  <c r="K36" i="1" s="1"/>
  <c r="E34" i="1"/>
  <c r="H35" i="1" s="1"/>
  <c r="D34" i="1"/>
  <c r="C34" i="1"/>
  <c r="E33" i="1"/>
  <c r="D33" i="1"/>
  <c r="C33" i="1"/>
  <c r="E32" i="1"/>
  <c r="D32" i="1"/>
  <c r="C32" i="1"/>
  <c r="G32" i="1" s="1"/>
  <c r="K33" i="1" s="1"/>
  <c r="E31" i="1"/>
  <c r="D31" i="1"/>
  <c r="C31" i="1"/>
  <c r="G31" i="1" s="1"/>
  <c r="K32" i="1" s="1"/>
  <c r="E30" i="1"/>
  <c r="H30" i="1" s="1"/>
  <c r="D30" i="1"/>
  <c r="C30" i="1"/>
  <c r="E29" i="1"/>
  <c r="D29" i="1"/>
  <c r="C29" i="1"/>
  <c r="E28" i="1"/>
  <c r="D28" i="1"/>
  <c r="C28" i="1"/>
  <c r="E27" i="1"/>
  <c r="D27" i="1"/>
  <c r="C27" i="1"/>
  <c r="G27" i="1" s="1"/>
  <c r="E26" i="1"/>
  <c r="H27" i="1" s="1"/>
  <c r="D26" i="1"/>
  <c r="C26" i="1"/>
  <c r="E25" i="1"/>
  <c r="D25" i="1"/>
  <c r="C25" i="1"/>
  <c r="E24" i="1"/>
  <c r="D24" i="1"/>
  <c r="C24" i="1"/>
  <c r="G24" i="1" s="1"/>
  <c r="K25" i="1" s="1"/>
  <c r="E23" i="1"/>
  <c r="D23" i="1"/>
  <c r="C23" i="1"/>
  <c r="G23" i="1" s="1"/>
  <c r="K24" i="1" s="1"/>
  <c r="E22" i="1"/>
  <c r="H22" i="1" s="1"/>
  <c r="D22" i="1"/>
  <c r="C22" i="1"/>
  <c r="E21" i="1"/>
  <c r="D21" i="1"/>
  <c r="C21" i="1"/>
  <c r="E20" i="1"/>
  <c r="D20" i="1"/>
  <c r="C20" i="1"/>
  <c r="E19" i="1"/>
  <c r="D19" i="1"/>
  <c r="C19" i="1"/>
  <c r="G19" i="1" s="1"/>
  <c r="K20" i="1" s="1"/>
  <c r="E18" i="1"/>
  <c r="H19" i="1" s="1"/>
  <c r="D18" i="1"/>
  <c r="C18" i="1"/>
  <c r="E17" i="1"/>
  <c r="D17" i="1"/>
  <c r="C17" i="1"/>
  <c r="E16" i="1"/>
  <c r="D16" i="1"/>
  <c r="C16" i="1"/>
  <c r="G16" i="1" s="1"/>
  <c r="K17" i="1" s="1"/>
  <c r="E15" i="1"/>
  <c r="D15" i="1"/>
  <c r="C15" i="1"/>
  <c r="G15" i="1" s="1"/>
  <c r="E14" i="1"/>
  <c r="H14" i="1" s="1"/>
  <c r="D14" i="1"/>
  <c r="C14" i="1"/>
  <c r="E13" i="1"/>
  <c r="D13" i="1"/>
  <c r="C13" i="1"/>
  <c r="E12" i="1"/>
  <c r="D12" i="1"/>
  <c r="C12" i="1"/>
  <c r="E11" i="1"/>
  <c r="D11" i="1"/>
  <c r="C11" i="1"/>
  <c r="G11" i="1" s="1"/>
  <c r="K12" i="1" s="1"/>
  <c r="E10" i="1"/>
  <c r="H11" i="1" s="1"/>
  <c r="D10" i="1"/>
  <c r="C10" i="1"/>
  <c r="E9" i="1"/>
  <c r="D9" i="1"/>
  <c r="C9" i="1"/>
  <c r="E8" i="1"/>
  <c r="D8" i="1"/>
  <c r="C8" i="1"/>
  <c r="G8" i="1" s="1"/>
  <c r="K9" i="1" s="1"/>
  <c r="E7" i="1"/>
  <c r="D7" i="1"/>
  <c r="C7" i="1"/>
  <c r="G7" i="1" s="1"/>
  <c r="K8" i="1" s="1"/>
  <c r="E6" i="1"/>
  <c r="H6" i="1" s="1"/>
  <c r="D6" i="1"/>
  <c r="C6" i="1"/>
  <c r="E5" i="1"/>
  <c r="D5" i="1"/>
  <c r="C5" i="1"/>
  <c r="E4" i="1"/>
  <c r="D4" i="1"/>
  <c r="C4" i="1"/>
  <c r="G4" i="1" s="1"/>
  <c r="K5" i="1" s="1"/>
  <c r="E3" i="1"/>
  <c r="H3" i="1" s="1"/>
  <c r="D3" i="1"/>
  <c r="C3" i="1"/>
  <c r="G3" i="1" s="1"/>
  <c r="K4" i="1" s="1"/>
  <c r="E2" i="1"/>
  <c r="D2" i="1"/>
  <c r="C2" i="1"/>
  <c r="G48" i="1" l="1"/>
  <c r="K49" i="1" s="1"/>
  <c r="H5" i="1"/>
  <c r="H9" i="1"/>
  <c r="H13" i="1"/>
  <c r="H16" i="1"/>
  <c r="H20" i="1"/>
  <c r="H25" i="1"/>
  <c r="H29" i="1"/>
  <c r="H32" i="1"/>
  <c r="H37" i="1"/>
  <c r="H41" i="1"/>
  <c r="H44" i="1"/>
  <c r="H48" i="1"/>
  <c r="H53" i="1"/>
  <c r="H57" i="1"/>
  <c r="H60" i="1"/>
  <c r="H65" i="1"/>
  <c r="H68" i="1"/>
  <c r="H72" i="1"/>
  <c r="H77" i="1"/>
  <c r="H80" i="1"/>
  <c r="G20" i="1"/>
  <c r="K21" i="1" s="1"/>
  <c r="G28" i="1"/>
  <c r="K29" i="1" s="1"/>
  <c r="G5" i="1"/>
  <c r="K6" i="1" s="1"/>
  <c r="G9" i="1"/>
  <c r="K10" i="1" s="1"/>
  <c r="G13" i="1"/>
  <c r="K14" i="1" s="1"/>
  <c r="G17" i="1"/>
  <c r="K18" i="1" s="1"/>
  <c r="G21" i="1"/>
  <c r="K22" i="1" s="1"/>
  <c r="G25" i="1"/>
  <c r="K26" i="1" s="1"/>
  <c r="G29" i="1"/>
  <c r="K30" i="1" s="1"/>
  <c r="G33" i="1"/>
  <c r="K34" i="1" s="1"/>
  <c r="G37" i="1"/>
  <c r="K38" i="1" s="1"/>
  <c r="G41" i="1"/>
  <c r="K42" i="1" s="1"/>
  <c r="G45" i="1"/>
  <c r="K46" i="1" s="1"/>
  <c r="G49" i="1"/>
  <c r="K50" i="1" s="1"/>
  <c r="G53" i="1"/>
  <c r="K54" i="1" s="1"/>
  <c r="G57" i="1"/>
  <c r="K58" i="1" s="1"/>
  <c r="G61" i="1"/>
  <c r="K62" i="1" s="1"/>
  <c r="G65" i="1"/>
  <c r="K66" i="1" s="1"/>
  <c r="G69" i="1"/>
  <c r="K70" i="1" s="1"/>
  <c r="G73" i="1"/>
  <c r="K74" i="1" s="1"/>
  <c r="G77" i="1"/>
  <c r="K78" i="1" s="1"/>
  <c r="G68" i="1"/>
  <c r="K69" i="1" s="1"/>
  <c r="G76" i="1"/>
  <c r="K77" i="1" s="1"/>
  <c r="G6" i="1"/>
  <c r="K7" i="1" s="1"/>
  <c r="G10" i="1"/>
  <c r="K11" i="1" s="1"/>
  <c r="G14" i="1"/>
  <c r="K15" i="1" s="1"/>
  <c r="G18" i="1"/>
  <c r="K19" i="1" s="1"/>
  <c r="G22" i="1"/>
  <c r="K23" i="1" s="1"/>
  <c r="G26" i="1"/>
  <c r="K27" i="1" s="1"/>
  <c r="G30" i="1"/>
  <c r="K31" i="1" s="1"/>
  <c r="G34" i="1"/>
  <c r="K35" i="1" s="1"/>
  <c r="G38" i="1"/>
  <c r="K39" i="1" s="1"/>
  <c r="G42" i="1"/>
  <c r="K43" i="1" s="1"/>
  <c r="G46" i="1"/>
  <c r="K47" i="1" s="1"/>
  <c r="G50" i="1"/>
  <c r="K51" i="1" s="1"/>
  <c r="G54" i="1"/>
  <c r="K55" i="1" s="1"/>
  <c r="G58" i="1"/>
  <c r="K59" i="1" s="1"/>
  <c r="G62" i="1"/>
  <c r="K63" i="1" s="1"/>
  <c r="G66" i="1"/>
  <c r="K67" i="1" s="1"/>
  <c r="G70" i="1"/>
  <c r="K71" i="1" s="1"/>
  <c r="G74" i="1"/>
  <c r="K75" i="1" s="1"/>
  <c r="G78" i="1"/>
  <c r="K79" i="1" s="1"/>
  <c r="H69" i="1"/>
  <c r="H61" i="1"/>
  <c r="H49" i="1"/>
  <c r="H45" i="1"/>
  <c r="H33" i="1"/>
  <c r="H17" i="1"/>
  <c r="H56" i="1"/>
  <c r="H52" i="1"/>
  <c r="H40" i="1"/>
  <c r="H36" i="1"/>
  <c r="H28" i="1"/>
  <c r="H24" i="1"/>
  <c r="H12" i="1"/>
  <c r="H8" i="1"/>
  <c r="H4" i="1"/>
  <c r="H75" i="1"/>
  <c r="H67" i="1"/>
  <c r="H59" i="1"/>
  <c r="H51" i="1"/>
  <c r="H43" i="1"/>
  <c r="H31" i="1"/>
  <c r="H23" i="1"/>
  <c r="H15" i="1"/>
  <c r="H7" i="1"/>
  <c r="H73" i="1"/>
  <c r="H21" i="1"/>
  <c r="H76" i="1"/>
  <c r="H64" i="1"/>
  <c r="H79" i="1"/>
  <c r="H39" i="1"/>
  <c r="H70" i="1"/>
  <c r="H62" i="1"/>
  <c r="H54" i="1"/>
  <c r="H46" i="1"/>
  <c r="H34" i="1"/>
  <c r="H26" i="1"/>
  <c r="H18" i="1"/>
  <c r="H10" i="1"/>
</calcChain>
</file>

<file path=xl/sharedStrings.xml><?xml version="1.0" encoding="utf-8"?>
<sst xmlns="http://schemas.openxmlformats.org/spreadsheetml/2006/main" count="12" uniqueCount="12">
  <si>
    <t>Month</t>
  </si>
  <si>
    <t>OI</t>
  </si>
  <si>
    <t>VIX</t>
  </si>
  <si>
    <t>FO</t>
  </si>
  <si>
    <t>CM</t>
  </si>
  <si>
    <t>DOI</t>
  </si>
  <si>
    <t>DVX</t>
  </si>
  <si>
    <t>DCM</t>
  </si>
  <si>
    <t>DOI_Lag1</t>
  </si>
  <si>
    <t>DVX_Lag1</t>
  </si>
  <si>
    <t>DVXSQ</t>
  </si>
  <si>
    <t>DVXPOS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</si>
</sst>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Paper_data_granular.xls" TargetMode="External"/><Relationship Id="rId1" Type="http://schemas.openxmlformats.org/officeDocument/2006/relationships/externalLinkPath" Target="Paper_data_gran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M_VOL_DAILY"/>
      <sheetName val="CM_MDA"/>
      <sheetName val="Outlier_Dates"/>
      <sheetName val="FO_VOL_DAILY"/>
      <sheetName val="FO_MDA"/>
      <sheetName val="VIX_DAILY"/>
      <sheetName val="VIX_MDA"/>
      <sheetName val="OI_FULL_DAILY"/>
      <sheetName val="OI_MDA"/>
      <sheetName val="ALL_DATA_MDA"/>
      <sheetName val="OI_ACTUAL_PRED_MARCH2028"/>
    </sheetNames>
    <sheetDataSet>
      <sheetData sheetId="0"/>
      <sheetData sheetId="1">
        <row r="2">
          <cell r="A2">
            <v>43831</v>
          </cell>
          <cell r="B2">
            <v>39228.403000961269</v>
          </cell>
        </row>
        <row r="3">
          <cell r="A3">
            <v>43862</v>
          </cell>
          <cell r="B3">
            <v>44842.21757154345</v>
          </cell>
        </row>
        <row r="4">
          <cell r="A4">
            <v>43891</v>
          </cell>
          <cell r="B4">
            <v>54055.465787908099</v>
          </cell>
        </row>
        <row r="5">
          <cell r="A5">
            <v>43922</v>
          </cell>
          <cell r="B5">
            <v>54843.583387659724</v>
          </cell>
        </row>
        <row r="6">
          <cell r="A6">
            <v>43952</v>
          </cell>
          <cell r="B6">
            <v>57982.876212998541</v>
          </cell>
        </row>
        <row r="7">
          <cell r="A7">
            <v>43983</v>
          </cell>
          <cell r="B7">
            <v>68303.041348210216</v>
          </cell>
        </row>
        <row r="8">
          <cell r="A8">
            <v>44013</v>
          </cell>
          <cell r="B8">
            <v>64899.829146342876</v>
          </cell>
        </row>
        <row r="9">
          <cell r="A9">
            <v>44044</v>
          </cell>
          <cell r="B9">
            <v>68970.279006729761</v>
          </cell>
        </row>
        <row r="10">
          <cell r="A10">
            <v>44075</v>
          </cell>
          <cell r="B10">
            <v>61206.861545954293</v>
          </cell>
        </row>
        <row r="11">
          <cell r="A11">
            <v>44105</v>
          </cell>
          <cell r="B11">
            <v>57077.374406288996</v>
          </cell>
        </row>
        <row r="12">
          <cell r="A12">
            <v>44136</v>
          </cell>
          <cell r="B12">
            <v>76345.746174319298</v>
          </cell>
        </row>
        <row r="13">
          <cell r="A13">
            <v>44166</v>
          </cell>
          <cell r="B13">
            <v>70513.135366875969</v>
          </cell>
        </row>
        <row r="14">
          <cell r="A14">
            <v>44197</v>
          </cell>
          <cell r="B14">
            <v>81252.205165129955</v>
          </cell>
        </row>
        <row r="15">
          <cell r="A15">
            <v>44228</v>
          </cell>
          <cell r="B15">
            <v>91882.088065824195</v>
          </cell>
        </row>
        <row r="16">
          <cell r="A16">
            <v>44256</v>
          </cell>
          <cell r="B16">
            <v>75693.326357939091</v>
          </cell>
        </row>
        <row r="17">
          <cell r="A17">
            <v>44287</v>
          </cell>
          <cell r="B17">
            <v>77779.68738202368</v>
          </cell>
        </row>
        <row r="18">
          <cell r="A18">
            <v>44317</v>
          </cell>
          <cell r="B18">
            <v>88363.166057468145</v>
          </cell>
        </row>
        <row r="19">
          <cell r="A19">
            <v>44348</v>
          </cell>
          <cell r="B19">
            <v>81098.218206319536</v>
          </cell>
        </row>
        <row r="20">
          <cell r="A20">
            <v>44378</v>
          </cell>
          <cell r="B20">
            <v>71203.010238836228</v>
          </cell>
        </row>
        <row r="21">
          <cell r="A21">
            <v>44409</v>
          </cell>
          <cell r="B21">
            <v>70224.057158932104</v>
          </cell>
        </row>
        <row r="22">
          <cell r="A22">
            <v>44440</v>
          </cell>
          <cell r="B22">
            <v>78297.011739564026</v>
          </cell>
        </row>
        <row r="23">
          <cell r="A23">
            <v>44470</v>
          </cell>
          <cell r="B23">
            <v>92944.66560286512</v>
          </cell>
        </row>
        <row r="24">
          <cell r="A24">
            <v>44501</v>
          </cell>
          <cell r="B24">
            <v>78487.245287156999</v>
          </cell>
        </row>
        <row r="25">
          <cell r="A25">
            <v>44531</v>
          </cell>
          <cell r="B25">
            <v>60133.109102888906</v>
          </cell>
        </row>
        <row r="26">
          <cell r="A26">
            <v>44562</v>
          </cell>
          <cell r="B26">
            <v>73140.718052593395</v>
          </cell>
        </row>
        <row r="27">
          <cell r="A27">
            <v>44593</v>
          </cell>
          <cell r="B27">
            <v>66828.692810147899</v>
          </cell>
        </row>
        <row r="28">
          <cell r="A28">
            <v>44621</v>
          </cell>
          <cell r="B28">
            <v>73180.323214307995</v>
          </cell>
        </row>
        <row r="29">
          <cell r="A29">
            <v>44652</v>
          </cell>
          <cell r="B29">
            <v>77540.355875076377</v>
          </cell>
        </row>
        <row r="30">
          <cell r="A30">
            <v>44682</v>
          </cell>
          <cell r="B30">
            <v>65123.398241626863</v>
          </cell>
        </row>
        <row r="31">
          <cell r="A31">
            <v>44713</v>
          </cell>
          <cell r="B31">
            <v>48968.568805764342</v>
          </cell>
        </row>
        <row r="32">
          <cell r="A32">
            <v>44743</v>
          </cell>
          <cell r="B32">
            <v>51049.687605442232</v>
          </cell>
        </row>
        <row r="33">
          <cell r="A33">
            <v>44774</v>
          </cell>
          <cell r="B33">
            <v>66636.114343493216</v>
          </cell>
        </row>
        <row r="34">
          <cell r="A34">
            <v>44805</v>
          </cell>
          <cell r="B34">
            <v>69738.444432646938</v>
          </cell>
        </row>
        <row r="35">
          <cell r="A35">
            <v>44835</v>
          </cell>
          <cell r="B35">
            <v>55072.94639933834</v>
          </cell>
        </row>
        <row r="36">
          <cell r="A36">
            <v>44866</v>
          </cell>
          <cell r="B36">
            <v>62730.513171098508</v>
          </cell>
        </row>
        <row r="37">
          <cell r="A37">
            <v>44896</v>
          </cell>
          <cell r="B37">
            <v>59574.818521501271</v>
          </cell>
        </row>
        <row r="38">
          <cell r="A38">
            <v>44927</v>
          </cell>
          <cell r="B38">
            <v>54372.58326448562</v>
          </cell>
        </row>
        <row r="39">
          <cell r="A39">
            <v>44958</v>
          </cell>
          <cell r="B39">
            <v>56184.265903741238</v>
          </cell>
        </row>
        <row r="40">
          <cell r="A40">
            <v>44986</v>
          </cell>
          <cell r="B40">
            <v>54508.226142164676</v>
          </cell>
        </row>
        <row r="41">
          <cell r="A41">
            <v>45017</v>
          </cell>
          <cell r="B41">
            <v>56645.736256680408</v>
          </cell>
        </row>
        <row r="42">
          <cell r="A42">
            <v>45047</v>
          </cell>
          <cell r="B42">
            <v>66261.087822888963</v>
          </cell>
        </row>
        <row r="43">
          <cell r="A43">
            <v>45078</v>
          </cell>
          <cell r="B43">
            <v>70178.798810089414</v>
          </cell>
        </row>
        <row r="44">
          <cell r="A44">
            <v>45108</v>
          </cell>
          <cell r="B44">
            <v>80565.352852820419</v>
          </cell>
        </row>
        <row r="45">
          <cell r="A45">
            <v>45139</v>
          </cell>
          <cell r="B45">
            <v>87057.534608665432</v>
          </cell>
        </row>
        <row r="46">
          <cell r="A46">
            <v>45170</v>
          </cell>
          <cell r="B46">
            <v>93248.859006593659</v>
          </cell>
        </row>
        <row r="47">
          <cell r="A47">
            <v>45200</v>
          </cell>
          <cell r="B47">
            <v>74114.320660434634</v>
          </cell>
        </row>
        <row r="48">
          <cell r="A48">
            <v>45231</v>
          </cell>
          <cell r="B48">
            <v>82245.336113450394</v>
          </cell>
        </row>
        <row r="49">
          <cell r="A49">
            <v>45261</v>
          </cell>
          <cell r="B49">
            <v>119557.19901648766</v>
          </cell>
        </row>
        <row r="50">
          <cell r="A50">
            <v>45292</v>
          </cell>
          <cell r="B50">
            <v>129043.99691230503</v>
          </cell>
        </row>
        <row r="51">
          <cell r="A51">
            <v>45323</v>
          </cell>
          <cell r="B51">
            <v>134351.41768431486</v>
          </cell>
        </row>
        <row r="52">
          <cell r="A52">
            <v>45352</v>
          </cell>
          <cell r="B52">
            <v>116014.91521431155</v>
          </cell>
        </row>
        <row r="53">
          <cell r="A53">
            <v>45383</v>
          </cell>
          <cell r="B53">
            <v>118428.58009321697</v>
          </cell>
        </row>
        <row r="54">
          <cell r="A54">
            <v>45413</v>
          </cell>
          <cell r="B54">
            <v>129647.37922664364</v>
          </cell>
        </row>
        <row r="55">
          <cell r="A55">
            <v>45444</v>
          </cell>
          <cell r="B55">
            <v>172986.73988465717</v>
          </cell>
        </row>
        <row r="56">
          <cell r="A56">
            <v>45474</v>
          </cell>
          <cell r="B56">
            <v>156905.68942091917</v>
          </cell>
        </row>
        <row r="57">
          <cell r="A57">
            <v>45505</v>
          </cell>
          <cell r="B57">
            <v>141670.4585747722</v>
          </cell>
        </row>
        <row r="58">
          <cell r="A58">
            <v>45536</v>
          </cell>
          <cell r="B58">
            <v>135382.62796746386</v>
          </cell>
        </row>
        <row r="59">
          <cell r="A59">
            <v>45566</v>
          </cell>
          <cell r="B59">
            <v>118318.97091876673</v>
          </cell>
        </row>
        <row r="60">
          <cell r="A60">
            <v>45597</v>
          </cell>
          <cell r="B60">
            <v>115737.8899996265</v>
          </cell>
        </row>
        <row r="61">
          <cell r="A61">
            <v>45627</v>
          </cell>
          <cell r="B61">
            <v>114638.54966888631</v>
          </cell>
        </row>
        <row r="62">
          <cell r="A62">
            <v>45658</v>
          </cell>
          <cell r="B62">
            <v>105916.30740509875</v>
          </cell>
        </row>
        <row r="63">
          <cell r="A63">
            <v>45689</v>
          </cell>
          <cell r="B63">
            <v>99922.828401432693</v>
          </cell>
        </row>
        <row r="64">
          <cell r="A64">
            <v>45717</v>
          </cell>
          <cell r="B64">
            <v>107611.92790112307</v>
          </cell>
        </row>
        <row r="65">
          <cell r="A65">
            <v>45748</v>
          </cell>
          <cell r="B65">
            <v>111644.51463668048</v>
          </cell>
        </row>
        <row r="66">
          <cell r="A66">
            <v>45778</v>
          </cell>
          <cell r="B66">
            <v>124711.95964578453</v>
          </cell>
        </row>
        <row r="67">
          <cell r="A67">
            <v>45809</v>
          </cell>
          <cell r="B67">
            <v>127477.67025679621</v>
          </cell>
        </row>
        <row r="68">
          <cell r="A68">
            <v>45839</v>
          </cell>
          <cell r="B68">
            <v>107603.56281688037</v>
          </cell>
        </row>
        <row r="69">
          <cell r="A69">
            <v>45870</v>
          </cell>
          <cell r="B69">
            <v>109927.56863424322</v>
          </cell>
        </row>
        <row r="70">
          <cell r="A70">
            <v>45901</v>
          </cell>
          <cell r="B70">
            <v>111678.46988357695</v>
          </cell>
        </row>
        <row r="71">
          <cell r="A71">
            <v>45931</v>
          </cell>
          <cell r="B71">
            <v>116417.8240066963</v>
          </cell>
        </row>
        <row r="72">
          <cell r="A72">
            <v>45962</v>
          </cell>
          <cell r="B72">
            <v>119228.18472754593</v>
          </cell>
        </row>
        <row r="73">
          <cell r="A73">
            <v>45992</v>
          </cell>
          <cell r="B73">
            <v>106721.82544598352</v>
          </cell>
        </row>
        <row r="74">
          <cell r="A74">
            <v>46023</v>
          </cell>
          <cell r="B74">
            <v>135285.79488467384</v>
          </cell>
        </row>
        <row r="75">
          <cell r="A75">
            <v>46054</v>
          </cell>
          <cell r="B75">
            <v>128565.42884689219</v>
          </cell>
        </row>
        <row r="76">
          <cell r="A76">
            <v>46082</v>
          </cell>
          <cell r="B76">
            <v>139705.77101351085</v>
          </cell>
        </row>
        <row r="77">
          <cell r="A77">
            <v>46113</v>
          </cell>
          <cell r="B77">
            <v>149576.60662208771</v>
          </cell>
        </row>
        <row r="78">
          <cell r="A78">
            <v>46143</v>
          </cell>
          <cell r="B78">
            <v>157145.81168566889</v>
          </cell>
        </row>
        <row r="79">
          <cell r="A79">
            <v>46174</v>
          </cell>
          <cell r="B79">
            <v>146663.0596976894</v>
          </cell>
        </row>
        <row r="80">
          <cell r="A80">
            <v>46204</v>
          </cell>
          <cell r="B80">
            <v>136773.29615843159</v>
          </cell>
        </row>
      </sheetData>
      <sheetData sheetId="2"/>
      <sheetData sheetId="3"/>
      <sheetData sheetId="4">
        <row r="1">
          <cell r="A1" t="str">
            <v>Month</v>
          </cell>
          <cell r="B1" t="str">
            <v>FO</v>
          </cell>
        </row>
        <row r="2">
          <cell r="A2">
            <v>43831</v>
          </cell>
          <cell r="B2">
            <v>1669427.7019146185</v>
          </cell>
        </row>
        <row r="3">
          <cell r="A3">
            <v>43862</v>
          </cell>
          <cell r="B3">
            <v>1734469.1059075962</v>
          </cell>
        </row>
        <row r="4">
          <cell r="A4">
            <v>43891</v>
          </cell>
          <cell r="B4">
            <v>1146922.9819347807</v>
          </cell>
        </row>
        <row r="5">
          <cell r="A5">
            <v>43922</v>
          </cell>
          <cell r="B5">
            <v>1146722.3093508345</v>
          </cell>
        </row>
        <row r="6">
          <cell r="A6">
            <v>43952</v>
          </cell>
          <cell r="B6">
            <v>1297466.2525919902</v>
          </cell>
        </row>
        <row r="7">
          <cell r="A7">
            <v>43983</v>
          </cell>
          <cell r="B7">
            <v>1659105.303242442</v>
          </cell>
        </row>
        <row r="8">
          <cell r="A8">
            <v>44013</v>
          </cell>
          <cell r="B8">
            <v>1926082.0507376434</v>
          </cell>
        </row>
        <row r="9">
          <cell r="A9">
            <v>44044</v>
          </cell>
          <cell r="B9">
            <v>1957567.0903249187</v>
          </cell>
        </row>
        <row r="10">
          <cell r="A10">
            <v>44075</v>
          </cell>
          <cell r="B10">
            <v>2256927.5546008139</v>
          </cell>
        </row>
        <row r="11">
          <cell r="A11">
            <v>44105</v>
          </cell>
          <cell r="B11">
            <v>2783775.8346848632</v>
          </cell>
        </row>
        <row r="12">
          <cell r="A12">
            <v>44136</v>
          </cell>
          <cell r="B12">
            <v>3219513.399689442</v>
          </cell>
        </row>
        <row r="13">
          <cell r="A13">
            <v>44166</v>
          </cell>
          <cell r="B13">
            <v>3283623.53670893</v>
          </cell>
        </row>
        <row r="14">
          <cell r="A14">
            <v>44197</v>
          </cell>
          <cell r="B14">
            <v>3812872.9766921201</v>
          </cell>
        </row>
        <row r="15">
          <cell r="A15">
            <v>44228</v>
          </cell>
          <cell r="B15">
            <v>4590800.2241419386</v>
          </cell>
        </row>
        <row r="16">
          <cell r="A16">
            <v>44256</v>
          </cell>
          <cell r="B16">
            <v>4688695.3129239017</v>
          </cell>
        </row>
        <row r="17">
          <cell r="A17">
            <v>44287</v>
          </cell>
          <cell r="B17">
            <v>4948265.4716743501</v>
          </cell>
        </row>
        <row r="18">
          <cell r="A18">
            <v>44317</v>
          </cell>
          <cell r="B18">
            <v>4634663.4729028316</v>
          </cell>
        </row>
        <row r="19">
          <cell r="A19">
            <v>44348</v>
          </cell>
          <cell r="B19">
            <v>4894655.0352812726</v>
          </cell>
        </row>
        <row r="20">
          <cell r="A20">
            <v>44378</v>
          </cell>
          <cell r="B20">
            <v>5659761.2721832423</v>
          </cell>
        </row>
        <row r="21">
          <cell r="A21">
            <v>44409</v>
          </cell>
          <cell r="B21">
            <v>6028522.5055154096</v>
          </cell>
        </row>
        <row r="22">
          <cell r="A22">
            <v>44440</v>
          </cell>
          <cell r="B22">
            <v>7002866.0042342264</v>
          </cell>
        </row>
        <row r="23">
          <cell r="A23">
            <v>44470</v>
          </cell>
          <cell r="B23">
            <v>7205243.5770300953</v>
          </cell>
        </row>
        <row r="24">
          <cell r="A24">
            <v>44501</v>
          </cell>
          <cell r="B24">
            <v>7840209.5461700791</v>
          </cell>
        </row>
        <row r="25">
          <cell r="A25">
            <v>44531</v>
          </cell>
          <cell r="B25">
            <v>7741038.3718543639</v>
          </cell>
        </row>
        <row r="26">
          <cell r="A26">
            <v>44562</v>
          </cell>
          <cell r="B26">
            <v>9202291.7138526775</v>
          </cell>
        </row>
        <row r="27">
          <cell r="A27">
            <v>44593</v>
          </cell>
          <cell r="B27">
            <v>10151865.699134922</v>
          </cell>
        </row>
        <row r="28">
          <cell r="A28">
            <v>44621</v>
          </cell>
          <cell r="B28">
            <v>9698039.7837726735</v>
          </cell>
        </row>
        <row r="29">
          <cell r="A29">
            <v>44652</v>
          </cell>
          <cell r="B29">
            <v>10518902.604788512</v>
          </cell>
        </row>
        <row r="30">
          <cell r="A30">
            <v>44682</v>
          </cell>
          <cell r="B30">
            <v>10315972.813486869</v>
          </cell>
        </row>
        <row r="31">
          <cell r="A31">
            <v>44713</v>
          </cell>
          <cell r="B31">
            <v>11104983.887868512</v>
          </cell>
        </row>
        <row r="32">
          <cell r="A32">
            <v>44743</v>
          </cell>
          <cell r="B32">
            <v>11133078.774413537</v>
          </cell>
        </row>
        <row r="33">
          <cell r="A33">
            <v>44774</v>
          </cell>
          <cell r="B33">
            <v>13632647.6549036</v>
          </cell>
        </row>
        <row r="34">
          <cell r="A34">
            <v>44805</v>
          </cell>
          <cell r="B34">
            <v>15238984.568565637</v>
          </cell>
        </row>
        <row r="35">
          <cell r="A35">
            <v>44835</v>
          </cell>
          <cell r="B35">
            <v>15069443.273683928</v>
          </cell>
        </row>
        <row r="36">
          <cell r="A36">
            <v>44866</v>
          </cell>
          <cell r="B36">
            <v>14726981.040120175</v>
          </cell>
        </row>
        <row r="37">
          <cell r="A37">
            <v>44896</v>
          </cell>
          <cell r="B37">
            <v>19085781.306538139</v>
          </cell>
        </row>
        <row r="38">
          <cell r="A38">
            <v>44927</v>
          </cell>
          <cell r="B38">
            <v>20096130.803253669</v>
          </cell>
        </row>
        <row r="39">
          <cell r="A39">
            <v>44958</v>
          </cell>
          <cell r="B39">
            <v>20708737.041776419</v>
          </cell>
        </row>
        <row r="40">
          <cell r="A40">
            <v>44986</v>
          </cell>
          <cell r="B40">
            <v>23472029.381664127</v>
          </cell>
        </row>
        <row r="41">
          <cell r="A41">
            <v>45017</v>
          </cell>
          <cell r="B41">
            <v>24198312.427688405</v>
          </cell>
        </row>
        <row r="42">
          <cell r="A42">
            <v>45047</v>
          </cell>
          <cell r="B42">
            <v>25144316.31746316</v>
          </cell>
        </row>
        <row r="43">
          <cell r="A43">
            <v>45078</v>
          </cell>
          <cell r="B43">
            <v>25821331.049052782</v>
          </cell>
        </row>
        <row r="44">
          <cell r="A44">
            <v>45108</v>
          </cell>
          <cell r="B44">
            <v>30628058.561650679</v>
          </cell>
        </row>
        <row r="45">
          <cell r="A45">
            <v>45139</v>
          </cell>
          <cell r="B45">
            <v>31266290.110527609</v>
          </cell>
        </row>
        <row r="46">
          <cell r="A46">
            <v>45170</v>
          </cell>
          <cell r="B46">
            <v>35680434.778807446</v>
          </cell>
        </row>
        <row r="47">
          <cell r="A47">
            <v>45200</v>
          </cell>
          <cell r="B47">
            <v>35010046.544269256</v>
          </cell>
        </row>
        <row r="48">
          <cell r="A48">
            <v>45231</v>
          </cell>
          <cell r="B48">
            <v>36173949.480507493</v>
          </cell>
        </row>
        <row r="49">
          <cell r="A49">
            <v>45261</v>
          </cell>
          <cell r="B49">
            <v>44922456.588374816</v>
          </cell>
        </row>
        <row r="50">
          <cell r="A50">
            <v>45292</v>
          </cell>
          <cell r="B50">
            <v>45830060.746099681</v>
          </cell>
        </row>
        <row r="51">
          <cell r="A51">
            <v>45323</v>
          </cell>
          <cell r="B51">
            <v>48209015.194203272</v>
          </cell>
        </row>
        <row r="52">
          <cell r="A52">
            <v>45352</v>
          </cell>
          <cell r="B52">
            <v>48237727.605657011</v>
          </cell>
        </row>
        <row r="53">
          <cell r="A53">
            <v>45383</v>
          </cell>
          <cell r="B53">
            <v>44450163.617939934</v>
          </cell>
        </row>
        <row r="54">
          <cell r="A54">
            <v>45413</v>
          </cell>
          <cell r="B54">
            <v>45006580.455530711</v>
          </cell>
        </row>
        <row r="55">
          <cell r="A55">
            <v>45444</v>
          </cell>
          <cell r="B55">
            <v>49681649.52909065</v>
          </cell>
        </row>
        <row r="56">
          <cell r="A56">
            <v>45474</v>
          </cell>
          <cell r="B56">
            <v>49539753.185478635</v>
          </cell>
        </row>
        <row r="57">
          <cell r="A57">
            <v>45505</v>
          </cell>
          <cell r="B57">
            <v>50005275.574063852</v>
          </cell>
        </row>
        <row r="58">
          <cell r="A58">
            <v>45536</v>
          </cell>
          <cell r="B58">
            <v>53700455.66813837</v>
          </cell>
        </row>
        <row r="59">
          <cell r="A59">
            <v>45566</v>
          </cell>
          <cell r="B59">
            <v>51566247.834678389</v>
          </cell>
        </row>
        <row r="60">
          <cell r="A60">
            <v>45597</v>
          </cell>
          <cell r="B60">
            <v>46342908.195292301</v>
          </cell>
        </row>
        <row r="61">
          <cell r="A61">
            <v>45627</v>
          </cell>
          <cell r="B61">
            <v>29443405.969990078</v>
          </cell>
        </row>
        <row r="62">
          <cell r="A62">
            <v>45658</v>
          </cell>
          <cell r="B62">
            <v>29661090.98564643</v>
          </cell>
        </row>
        <row r="63">
          <cell r="A63">
            <v>45689</v>
          </cell>
          <cell r="B63">
            <v>28606553.803606551</v>
          </cell>
        </row>
        <row r="64">
          <cell r="A64">
            <v>45717</v>
          </cell>
          <cell r="B64">
            <v>35163822.061157756</v>
          </cell>
        </row>
        <row r="65">
          <cell r="A65">
            <v>45748</v>
          </cell>
          <cell r="B65">
            <v>36768324.197845317</v>
          </cell>
        </row>
        <row r="66">
          <cell r="A66">
            <v>45778</v>
          </cell>
          <cell r="B66">
            <v>34145449.125285156</v>
          </cell>
        </row>
        <row r="67">
          <cell r="A67">
            <v>45809</v>
          </cell>
          <cell r="B67">
            <v>33407874.641389899</v>
          </cell>
        </row>
        <row r="68">
          <cell r="A68">
            <v>45839</v>
          </cell>
          <cell r="B68">
            <v>36756154.005437844</v>
          </cell>
        </row>
        <row r="69">
          <cell r="A69">
            <v>45870</v>
          </cell>
          <cell r="B69">
            <v>40030905.480467282</v>
          </cell>
        </row>
        <row r="70">
          <cell r="A70">
            <v>45901</v>
          </cell>
          <cell r="B70">
            <v>42184354.376300566</v>
          </cell>
        </row>
        <row r="71">
          <cell r="A71">
            <v>45931</v>
          </cell>
          <cell r="B71">
            <v>51336143.094183527</v>
          </cell>
        </row>
        <row r="72">
          <cell r="A72">
            <v>45962</v>
          </cell>
          <cell r="B72">
            <v>46678430.554532357</v>
          </cell>
        </row>
        <row r="73">
          <cell r="A73">
            <v>45992</v>
          </cell>
          <cell r="B73">
            <v>45842841.411619477</v>
          </cell>
        </row>
        <row r="74">
          <cell r="A74">
            <v>46023</v>
          </cell>
          <cell r="B74">
            <v>57521836.889234424</v>
          </cell>
        </row>
        <row r="75">
          <cell r="A75">
            <v>46054</v>
          </cell>
          <cell r="B75">
            <v>49916921.281417117</v>
          </cell>
        </row>
        <row r="76">
          <cell r="A76">
            <v>46082</v>
          </cell>
          <cell r="B76">
            <v>50037399.074213259</v>
          </cell>
        </row>
        <row r="77">
          <cell r="A77">
            <v>46113</v>
          </cell>
          <cell r="B77">
            <v>47183717.463872865</v>
          </cell>
        </row>
        <row r="78">
          <cell r="A78">
            <v>46143</v>
          </cell>
          <cell r="B78">
            <v>47141741.901736461</v>
          </cell>
        </row>
        <row r="79">
          <cell r="A79">
            <v>46174</v>
          </cell>
          <cell r="B79">
            <v>47773433.795056321</v>
          </cell>
        </row>
        <row r="80">
          <cell r="A80">
            <v>46204</v>
          </cell>
          <cell r="B80">
            <v>44074522.035999984</v>
          </cell>
        </row>
      </sheetData>
      <sheetData sheetId="5"/>
      <sheetData sheetId="6">
        <row r="2">
          <cell r="A2">
            <v>43831</v>
          </cell>
          <cell r="B2">
            <v>14.942826086956524</v>
          </cell>
        </row>
        <row r="3">
          <cell r="A3">
            <v>43862</v>
          </cell>
          <cell r="B3">
            <v>15.359874999999999</v>
          </cell>
        </row>
        <row r="4">
          <cell r="A4">
            <v>43891</v>
          </cell>
          <cell r="B4">
            <v>53.063571428571429</v>
          </cell>
        </row>
        <row r="5">
          <cell r="A5">
            <v>43922</v>
          </cell>
          <cell r="B5">
            <v>45.003749999999997</v>
          </cell>
        </row>
        <row r="6">
          <cell r="A6">
            <v>43952</v>
          </cell>
          <cell r="B6">
            <v>36.982105263157905</v>
          </cell>
        </row>
        <row r="7">
          <cell r="A7">
            <v>43983</v>
          </cell>
          <cell r="B7">
            <v>30.23761363636363</v>
          </cell>
        </row>
        <row r="8">
          <cell r="A8">
            <v>44013</v>
          </cell>
          <cell r="B8">
            <v>25.184347826086952</v>
          </cell>
        </row>
        <row r="9">
          <cell r="A9">
            <v>44044</v>
          </cell>
          <cell r="B9">
            <v>21.210714285714285</v>
          </cell>
        </row>
        <row r="10">
          <cell r="A10">
            <v>44075</v>
          </cell>
          <cell r="B10">
            <v>21.078977272727272</v>
          </cell>
        </row>
        <row r="11">
          <cell r="A11">
            <v>44105</v>
          </cell>
          <cell r="B11">
            <v>21.5825</v>
          </cell>
        </row>
        <row r="12">
          <cell r="A12">
            <v>44136</v>
          </cell>
          <cell r="B12">
            <v>21.011000000000003</v>
          </cell>
        </row>
        <row r="13">
          <cell r="A13">
            <v>44166</v>
          </cell>
          <cell r="B13">
            <v>19.771363636363638</v>
          </cell>
        </row>
        <row r="14">
          <cell r="A14">
            <v>44197</v>
          </cell>
          <cell r="B14">
            <v>22.428750000000001</v>
          </cell>
        </row>
        <row r="15">
          <cell r="A15">
            <v>44228</v>
          </cell>
          <cell r="B15">
            <v>23.483625000000011</v>
          </cell>
        </row>
        <row r="16">
          <cell r="A16">
            <v>44256</v>
          </cell>
          <cell r="B16">
            <v>21.931071428571425</v>
          </cell>
        </row>
        <row r="17">
          <cell r="A17">
            <v>44287</v>
          </cell>
          <cell r="B17">
            <v>21.749999999999996</v>
          </cell>
        </row>
        <row r="18">
          <cell r="A18">
            <v>44317</v>
          </cell>
          <cell r="B18">
            <v>20.093249999999998</v>
          </cell>
        </row>
        <row r="19">
          <cell r="A19">
            <v>44348</v>
          </cell>
          <cell r="B19">
            <v>14.921818181818184</v>
          </cell>
        </row>
        <row r="20">
          <cell r="A20">
            <v>44378</v>
          </cell>
          <cell r="B20">
            <v>12.610595238095238</v>
          </cell>
        </row>
        <row r="21">
          <cell r="A21">
            <v>44409</v>
          </cell>
          <cell r="B21">
            <v>13.217619047619047</v>
          </cell>
        </row>
        <row r="22">
          <cell r="A22">
            <v>44440</v>
          </cell>
          <cell r="B22">
            <v>15.721547619047618</v>
          </cell>
        </row>
        <row r="23">
          <cell r="A23">
            <v>44470</v>
          </cell>
          <cell r="B23">
            <v>16.913500000000003</v>
          </cell>
        </row>
        <row r="24">
          <cell r="A24">
            <v>44501</v>
          </cell>
          <cell r="B24">
            <v>16.948875000000001</v>
          </cell>
        </row>
        <row r="25">
          <cell r="A25">
            <v>44531</v>
          </cell>
          <cell r="B25">
            <v>17.178478260869568</v>
          </cell>
        </row>
        <row r="26">
          <cell r="A26">
            <v>44562</v>
          </cell>
          <cell r="B26">
            <v>18.409624999999998</v>
          </cell>
        </row>
        <row r="27">
          <cell r="A27">
            <v>44593</v>
          </cell>
          <cell r="B27">
            <v>22.075250000000004</v>
          </cell>
        </row>
        <row r="28">
          <cell r="A28">
            <v>44621</v>
          </cell>
          <cell r="B28">
            <v>25.079761904761909</v>
          </cell>
        </row>
        <row r="29">
          <cell r="A29">
            <v>44652</v>
          </cell>
          <cell r="B29">
            <v>18.87263157894737</v>
          </cell>
        </row>
        <row r="30">
          <cell r="A30">
            <v>44682</v>
          </cell>
          <cell r="B30">
            <v>22.608690476190482</v>
          </cell>
        </row>
        <row r="31">
          <cell r="A31">
            <v>44713</v>
          </cell>
          <cell r="B31">
            <v>21.128409090909091</v>
          </cell>
        </row>
        <row r="32">
          <cell r="A32">
            <v>44743</v>
          </cell>
          <cell r="B32">
            <v>18.308690476190478</v>
          </cell>
        </row>
        <row r="33">
          <cell r="A33">
            <v>44774</v>
          </cell>
          <cell r="B33">
            <v>18.565624999999997</v>
          </cell>
        </row>
        <row r="34">
          <cell r="A34">
            <v>44805</v>
          </cell>
          <cell r="B34">
            <v>19.554318181818179</v>
          </cell>
        </row>
        <row r="35">
          <cell r="A35">
            <v>44835</v>
          </cell>
          <cell r="B35">
            <v>18.336447368421059</v>
          </cell>
        </row>
        <row r="36">
          <cell r="A36">
            <v>44866</v>
          </cell>
          <cell r="B36">
            <v>14.774047619047618</v>
          </cell>
        </row>
        <row r="37">
          <cell r="A37">
            <v>44896</v>
          </cell>
          <cell r="B37">
            <v>14.225681818181817</v>
          </cell>
        </row>
        <row r="38">
          <cell r="A38">
            <v>44927</v>
          </cell>
          <cell r="B38">
            <v>15.008333333333335</v>
          </cell>
        </row>
        <row r="39">
          <cell r="A39">
            <v>44958</v>
          </cell>
          <cell r="B39">
            <v>14.060124999999999</v>
          </cell>
        </row>
        <row r="40">
          <cell r="A40">
            <v>44986</v>
          </cell>
          <cell r="B40">
            <v>14.35464285714286</v>
          </cell>
        </row>
        <row r="41">
          <cell r="A41">
            <v>45017</v>
          </cell>
          <cell r="B41">
            <v>11.911617647058824</v>
          </cell>
        </row>
        <row r="42">
          <cell r="A42">
            <v>45047</v>
          </cell>
          <cell r="B42">
            <v>12.540113636363635</v>
          </cell>
        </row>
        <row r="43">
          <cell r="A43">
            <v>45078</v>
          </cell>
          <cell r="B43">
            <v>11.180476190476192</v>
          </cell>
        </row>
        <row r="44">
          <cell r="A44">
            <v>45108</v>
          </cell>
          <cell r="B44">
            <v>11.182500000000001</v>
          </cell>
        </row>
        <row r="45">
          <cell r="A45">
            <v>45139</v>
          </cell>
          <cell r="B45">
            <v>11.63693181818182</v>
          </cell>
        </row>
        <row r="46">
          <cell r="A46">
            <v>45170</v>
          </cell>
          <cell r="B46">
            <v>11.197125</v>
          </cell>
        </row>
        <row r="47">
          <cell r="A47">
            <v>45200</v>
          </cell>
          <cell r="B47">
            <v>11.109249999999999</v>
          </cell>
        </row>
        <row r="48">
          <cell r="A48">
            <v>45231</v>
          </cell>
          <cell r="B48">
            <v>11.573214285714286</v>
          </cell>
        </row>
        <row r="49">
          <cell r="A49">
            <v>45261</v>
          </cell>
          <cell r="B49">
            <v>13.512874999999999</v>
          </cell>
        </row>
        <row r="50">
          <cell r="A50">
            <v>45292</v>
          </cell>
          <cell r="B50">
            <v>14.090454545454547</v>
          </cell>
        </row>
        <row r="51">
          <cell r="A51">
            <v>45323</v>
          </cell>
          <cell r="B51">
            <v>15.547857142857143</v>
          </cell>
        </row>
        <row r="52">
          <cell r="A52">
            <v>45352</v>
          </cell>
          <cell r="B52">
            <v>13.756842105263157</v>
          </cell>
        </row>
        <row r="53">
          <cell r="A53">
            <v>45383</v>
          </cell>
          <cell r="B53">
            <v>11.739000000000001</v>
          </cell>
        </row>
        <row r="54">
          <cell r="A54">
            <v>45413</v>
          </cell>
          <cell r="B54">
            <v>20.159772727272728</v>
          </cell>
        </row>
        <row r="55">
          <cell r="A55">
            <v>45444</v>
          </cell>
          <cell r="B55">
            <v>15.562368421052632</v>
          </cell>
        </row>
        <row r="56">
          <cell r="A56">
            <v>45474</v>
          </cell>
          <cell r="B56">
            <v>13.540454545454542</v>
          </cell>
        </row>
        <row r="57">
          <cell r="A57">
            <v>45505</v>
          </cell>
          <cell r="B57">
            <v>14.900833333333335</v>
          </cell>
        </row>
        <row r="58">
          <cell r="A58">
            <v>45536</v>
          </cell>
          <cell r="B58">
            <v>13.286547619047621</v>
          </cell>
        </row>
        <row r="59">
          <cell r="A59">
            <v>45566</v>
          </cell>
          <cell r="B59">
            <v>13.932386363636363</v>
          </cell>
        </row>
        <row r="60">
          <cell r="A60">
            <v>45597</v>
          </cell>
          <cell r="B60">
            <v>15.254736842105265</v>
          </cell>
        </row>
        <row r="61">
          <cell r="A61">
            <v>45627</v>
          </cell>
          <cell r="B61">
            <v>14.020714285714288</v>
          </cell>
        </row>
        <row r="62">
          <cell r="A62">
            <v>45658</v>
          </cell>
          <cell r="B62">
            <v>15.928586956521738</v>
          </cell>
        </row>
        <row r="63">
          <cell r="A63">
            <v>45689</v>
          </cell>
          <cell r="B63">
            <v>14.499375000000004</v>
          </cell>
        </row>
        <row r="64">
          <cell r="A64">
            <v>45717</v>
          </cell>
          <cell r="B64">
            <v>13.443684210526316</v>
          </cell>
        </row>
        <row r="65">
          <cell r="A65">
            <v>45748</v>
          </cell>
          <cell r="B65">
            <v>16.828947368421051</v>
          </cell>
        </row>
        <row r="66">
          <cell r="A66">
            <v>45778</v>
          </cell>
          <cell r="B66">
            <v>18.022857142857141</v>
          </cell>
        </row>
        <row r="67">
          <cell r="A67">
            <v>45809</v>
          </cell>
          <cell r="B67">
            <v>14.310952380952379</v>
          </cell>
        </row>
        <row r="68">
          <cell r="A68">
            <v>45839</v>
          </cell>
          <cell r="B68">
            <v>11.653043478260871</v>
          </cell>
        </row>
        <row r="69">
          <cell r="A69">
            <v>45870</v>
          </cell>
          <cell r="B69">
            <v>11.95736842105263</v>
          </cell>
        </row>
        <row r="70">
          <cell r="A70">
            <v>45901</v>
          </cell>
          <cell r="B70">
            <v>10.67909090909091</v>
          </cell>
        </row>
        <row r="71">
          <cell r="A71">
            <v>45931</v>
          </cell>
          <cell r="B71">
            <v>11.061904761904762</v>
          </cell>
        </row>
        <row r="72">
          <cell r="A72">
            <v>45962</v>
          </cell>
          <cell r="B72">
            <v>12.304210526315789</v>
          </cell>
        </row>
        <row r="73">
          <cell r="A73">
            <v>45992</v>
          </cell>
          <cell r="B73">
            <v>10.198636363636366</v>
          </cell>
        </row>
        <row r="74">
          <cell r="A74">
            <v>46023</v>
          </cell>
          <cell r="B74">
            <v>11.814</v>
          </cell>
        </row>
        <row r="75">
          <cell r="A75">
            <v>46054</v>
          </cell>
          <cell r="B75">
            <v>13.012857142857142</v>
          </cell>
        </row>
        <row r="76">
          <cell r="A76">
            <v>46082</v>
          </cell>
          <cell r="B76">
            <v>22.106842105263155</v>
          </cell>
        </row>
        <row r="77">
          <cell r="A77">
            <v>46113</v>
          </cell>
          <cell r="B77">
            <v>19.97</v>
          </cell>
        </row>
        <row r="78">
          <cell r="A78">
            <v>46143</v>
          </cell>
          <cell r="B78">
            <v>17.762631578947367</v>
          </cell>
        </row>
        <row r="79">
          <cell r="A79">
            <v>46174</v>
          </cell>
          <cell r="B79">
            <v>14.542857142857144</v>
          </cell>
        </row>
        <row r="80">
          <cell r="A80">
            <v>46204</v>
          </cell>
          <cell r="B80">
            <v>12.927647058823528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EBD4-973A-4DEC-805A-C1A2D57EA0DA}">
  <dimension ref="A1:L80"/>
  <sheetViews>
    <sheetView tabSelected="1" workbookViewId="0">
      <selection activeCell="O8" sqref="O8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9</v>
      </c>
      <c r="L1" t="s">
        <v>8</v>
      </c>
    </row>
    <row r="2" spans="1:12" x14ac:dyDescent="0.35">
      <c r="A2" s="1">
        <v>43831</v>
      </c>
      <c r="B2" s="2">
        <v>373489.29355141608</v>
      </c>
      <c r="C2" s="3">
        <f>VLOOKUP(A2,[1]VIX_MDA!A2:B80,2,0)</f>
        <v>14.942826086956524</v>
      </c>
      <c r="D2">
        <f>VLOOKUP(A2,[1]FO_MDA!A1:B80,2,0)</f>
        <v>1669427.7019146185</v>
      </c>
      <c r="E2" s="2">
        <f>VLOOKUP(A2,[1]CM_MDA!A2:B80,2,0)</f>
        <v>39228.403000961269</v>
      </c>
    </row>
    <row r="3" spans="1:12" x14ac:dyDescent="0.35">
      <c r="A3" s="1">
        <v>43862</v>
      </c>
      <c r="B3" s="2">
        <v>371907.41954055778</v>
      </c>
      <c r="C3" s="3">
        <f>VLOOKUP(A3,[1]VIX_MDA!A3:B81,2,0)</f>
        <v>15.359874999999999</v>
      </c>
      <c r="D3">
        <f>VLOOKUP(A3,[1]FO_MDA!A2:B81,2,0)</f>
        <v>1734469.1059075962</v>
      </c>
      <c r="E3" s="2">
        <f>VLOOKUP(A3,[1]CM_MDA!A3:B81,2,0)</f>
        <v>44842.21757154345</v>
      </c>
      <c r="F3">
        <f>LN(B3/B2)</f>
        <v>-4.2443878751800349E-3</v>
      </c>
      <c r="G3">
        <f>LN(C3/C2)</f>
        <v>2.7527265402978219E-2</v>
      </c>
      <c r="H3">
        <f>LN(E3/E2)</f>
        <v>0.13374900141346327</v>
      </c>
      <c r="I3">
        <f>G3^2</f>
        <v>7.5775034056600158E-4</v>
      </c>
      <c r="J3">
        <f>IF(G3&gt;0,G3,0)</f>
        <v>2.7527265402978219E-2</v>
      </c>
    </row>
    <row r="4" spans="1:12" x14ac:dyDescent="0.35">
      <c r="A4" s="1">
        <v>43891</v>
      </c>
      <c r="B4" s="2">
        <v>253346.42920749786</v>
      </c>
      <c r="C4" s="3">
        <f>VLOOKUP(A4,[1]VIX_MDA!A4:B82,2,0)</f>
        <v>53.063571428571429</v>
      </c>
      <c r="D4">
        <f>VLOOKUP(A4,[1]FO_MDA!A3:B82,2,0)</f>
        <v>1146922.9819347807</v>
      </c>
      <c r="E4" s="2">
        <f>VLOOKUP(A4,[1]CM_MDA!A4:B82,2,0)</f>
        <v>54055.465787908099</v>
      </c>
      <c r="F4">
        <f t="shared" ref="F4:F67" si="0">LN(B4/B3)</f>
        <v>-0.38388711358023003</v>
      </c>
      <c r="G4">
        <f t="shared" ref="G4:G67" si="1">LN(C4/C3)</f>
        <v>1.2397320660244471</v>
      </c>
      <c r="H4">
        <f t="shared" ref="H4:H67" si="2">LN(E4/E3)</f>
        <v>0.18686061144364918</v>
      </c>
      <c r="I4">
        <f t="shared" ref="I4:I67" si="3">G4^2</f>
        <v>1.5369355955292441</v>
      </c>
      <c r="J4">
        <f t="shared" ref="J4:J67" si="4">IF(G4&gt;0,G4,0)</f>
        <v>1.2397320660244471</v>
      </c>
      <c r="K4">
        <f>G3</f>
        <v>2.7527265402978219E-2</v>
      </c>
      <c r="L4">
        <f>F3</f>
        <v>-4.2443878751800349E-3</v>
      </c>
    </row>
    <row r="5" spans="1:12" x14ac:dyDescent="0.35">
      <c r="A5" s="1">
        <v>43922</v>
      </c>
      <c r="B5" s="2">
        <v>203234.81460202721</v>
      </c>
      <c r="C5" s="3">
        <f>VLOOKUP(A5,[1]VIX_MDA!A5:B83,2,0)</f>
        <v>45.003749999999997</v>
      </c>
      <c r="D5">
        <f>VLOOKUP(A5,[1]FO_MDA!A4:B83,2,0)</f>
        <v>1146722.3093508345</v>
      </c>
      <c r="E5" s="2">
        <f>VLOOKUP(A5,[1]CM_MDA!A5:B83,2,0)</f>
        <v>54843.583387659724</v>
      </c>
      <c r="F5">
        <f t="shared" si="0"/>
        <v>-0.2203958047846723</v>
      </c>
      <c r="G5">
        <f t="shared" si="1"/>
        <v>-0.16474483605840226</v>
      </c>
      <c r="H5">
        <f t="shared" si="2"/>
        <v>1.4474531516706713E-2</v>
      </c>
      <c r="I5">
        <f t="shared" si="3"/>
        <v>2.7140861007909838E-2</v>
      </c>
      <c r="J5">
        <f t="shared" si="4"/>
        <v>0</v>
      </c>
      <c r="K5">
        <f t="shared" ref="K5:K68" si="5">G4</f>
        <v>1.2397320660244471</v>
      </c>
      <c r="L5">
        <f t="shared" ref="L5:L68" si="6">F4</f>
        <v>-0.38388711358023003</v>
      </c>
    </row>
    <row r="6" spans="1:12" x14ac:dyDescent="0.35">
      <c r="A6" s="1">
        <v>43952</v>
      </c>
      <c r="B6" s="2">
        <v>226116.48576280268</v>
      </c>
      <c r="C6" s="3">
        <f>VLOOKUP(A6,[1]VIX_MDA!A6:B84,2,0)</f>
        <v>36.982105263157905</v>
      </c>
      <c r="D6">
        <f>VLOOKUP(A6,[1]FO_MDA!A5:B84,2,0)</f>
        <v>1297466.2525919902</v>
      </c>
      <c r="E6" s="2">
        <f>VLOOKUP(A6,[1]CM_MDA!A6:B84,2,0)</f>
        <v>57982.876212998541</v>
      </c>
      <c r="F6">
        <f t="shared" si="0"/>
        <v>0.1066882574846994</v>
      </c>
      <c r="G6">
        <f t="shared" si="1"/>
        <v>-0.19631166551596296</v>
      </c>
      <c r="H6">
        <f t="shared" si="2"/>
        <v>5.5662534098446216E-2</v>
      </c>
      <c r="I6">
        <f t="shared" si="3"/>
        <v>3.8538270017651324E-2</v>
      </c>
      <c r="J6">
        <f t="shared" si="4"/>
        <v>0</v>
      </c>
      <c r="K6">
        <f t="shared" si="5"/>
        <v>-0.16474483605840226</v>
      </c>
      <c r="L6">
        <f t="shared" si="6"/>
        <v>-0.2203958047846723</v>
      </c>
    </row>
    <row r="7" spans="1:12" x14ac:dyDescent="0.35">
      <c r="A7" s="1">
        <v>43983</v>
      </c>
      <c r="B7" s="2">
        <v>301287.16546886868</v>
      </c>
      <c r="C7" s="3">
        <f>VLOOKUP(A7,[1]VIX_MDA!A7:B85,2,0)</f>
        <v>30.23761363636363</v>
      </c>
      <c r="D7">
        <f>VLOOKUP(A7,[1]FO_MDA!A6:B85,2,0)</f>
        <v>1659105.303242442</v>
      </c>
      <c r="E7" s="2">
        <f>VLOOKUP(A7,[1]CM_MDA!A7:B85,2,0)</f>
        <v>68303.041348210216</v>
      </c>
      <c r="F7">
        <f t="shared" si="0"/>
        <v>0.28701355783000743</v>
      </c>
      <c r="G7">
        <f t="shared" si="1"/>
        <v>-0.20134752005962753</v>
      </c>
      <c r="H7">
        <f t="shared" si="2"/>
        <v>0.16380656559345277</v>
      </c>
      <c r="I7">
        <f t="shared" si="3"/>
        <v>4.0540823834162111E-2</v>
      </c>
      <c r="J7">
        <f t="shared" si="4"/>
        <v>0</v>
      </c>
      <c r="K7">
        <f t="shared" si="5"/>
        <v>-0.19631166551596296</v>
      </c>
      <c r="L7">
        <f t="shared" si="6"/>
        <v>0.1066882574846994</v>
      </c>
    </row>
    <row r="8" spans="1:12" x14ac:dyDescent="0.35">
      <c r="A8" s="1">
        <v>44013</v>
      </c>
      <c r="B8" s="2">
        <v>361922.7762285879</v>
      </c>
      <c r="C8" s="3">
        <f>VLOOKUP(A8,[1]VIX_MDA!A8:B86,2,0)</f>
        <v>25.184347826086952</v>
      </c>
      <c r="D8">
        <f>VLOOKUP(A8,[1]FO_MDA!A7:B86,2,0)</f>
        <v>1926082.0507376434</v>
      </c>
      <c r="E8" s="2">
        <f>VLOOKUP(A8,[1]CM_MDA!A8:B86,2,0)</f>
        <v>64899.829146342876</v>
      </c>
      <c r="F8">
        <f t="shared" si="0"/>
        <v>0.18336701568696911</v>
      </c>
      <c r="G8">
        <f t="shared" si="1"/>
        <v>-0.18286395052478127</v>
      </c>
      <c r="H8">
        <f t="shared" si="2"/>
        <v>-5.1109303703045852E-2</v>
      </c>
      <c r="I8">
        <f t="shared" si="3"/>
        <v>3.3439224401529653E-2</v>
      </c>
      <c r="J8">
        <f t="shared" si="4"/>
        <v>0</v>
      </c>
      <c r="K8">
        <f t="shared" si="5"/>
        <v>-0.20134752005962753</v>
      </c>
      <c r="L8">
        <f t="shared" si="6"/>
        <v>0.28701355783000743</v>
      </c>
    </row>
    <row r="9" spans="1:12" x14ac:dyDescent="0.35">
      <c r="A9" s="1">
        <v>44044</v>
      </c>
      <c r="B9" s="2">
        <v>373702.61054675624</v>
      </c>
      <c r="C9" s="3">
        <f>VLOOKUP(A9,[1]VIX_MDA!A9:B87,2,0)</f>
        <v>21.210714285714285</v>
      </c>
      <c r="D9">
        <f>VLOOKUP(A9,[1]FO_MDA!A8:B87,2,0)</f>
        <v>1957567.0903249187</v>
      </c>
      <c r="E9" s="2">
        <f>VLOOKUP(A9,[1]CM_MDA!A9:B87,2,0)</f>
        <v>68970.279006729761</v>
      </c>
      <c r="F9">
        <f t="shared" si="0"/>
        <v>3.2029458408769279E-2</v>
      </c>
      <c r="G9">
        <f t="shared" si="1"/>
        <v>-0.17171623868464142</v>
      </c>
      <c r="H9">
        <f t="shared" si="2"/>
        <v>6.0830681630979565E-2</v>
      </c>
      <c r="I9">
        <f t="shared" si="3"/>
        <v>2.9486466628000741E-2</v>
      </c>
      <c r="J9">
        <f t="shared" si="4"/>
        <v>0</v>
      </c>
      <c r="K9">
        <f t="shared" si="5"/>
        <v>-0.18286395052478127</v>
      </c>
      <c r="L9">
        <f t="shared" si="6"/>
        <v>0.18336701568696911</v>
      </c>
    </row>
    <row r="10" spans="1:12" x14ac:dyDescent="0.35">
      <c r="A10" s="1">
        <v>44075</v>
      </c>
      <c r="B10" s="2">
        <v>384403.1781930271</v>
      </c>
      <c r="C10" s="3">
        <f>VLOOKUP(A10,[1]VIX_MDA!A10:B88,2,0)</f>
        <v>21.078977272727272</v>
      </c>
      <c r="D10">
        <f>VLOOKUP(A10,[1]FO_MDA!A9:B88,2,0)</f>
        <v>2256927.5546008139</v>
      </c>
      <c r="E10" s="2">
        <f>VLOOKUP(A10,[1]CM_MDA!A10:B88,2,0)</f>
        <v>61206.861545954293</v>
      </c>
      <c r="F10">
        <f t="shared" si="0"/>
        <v>2.8231622851808625E-2</v>
      </c>
      <c r="G10">
        <f t="shared" si="1"/>
        <v>-6.2302388244495554E-3</v>
      </c>
      <c r="H10">
        <f t="shared" si="2"/>
        <v>-0.11941637277202748</v>
      </c>
      <c r="I10">
        <f t="shared" si="3"/>
        <v>3.8815875809678578E-5</v>
      </c>
      <c r="J10">
        <f t="shared" si="4"/>
        <v>0</v>
      </c>
      <c r="K10">
        <f t="shared" si="5"/>
        <v>-0.17171623868464142</v>
      </c>
      <c r="L10">
        <f t="shared" si="6"/>
        <v>3.2029458408769279E-2</v>
      </c>
    </row>
    <row r="11" spans="1:12" x14ac:dyDescent="0.35">
      <c r="A11" s="1">
        <v>44105</v>
      </c>
      <c r="B11" s="2">
        <v>418375.863782659</v>
      </c>
      <c r="C11" s="3">
        <f>VLOOKUP(A11,[1]VIX_MDA!A11:B89,2,0)</f>
        <v>21.5825</v>
      </c>
      <c r="D11">
        <f>VLOOKUP(A11,[1]FO_MDA!A10:B89,2,0)</f>
        <v>2783775.8346848632</v>
      </c>
      <c r="E11" s="2">
        <f>VLOOKUP(A11,[1]CM_MDA!A11:B89,2,0)</f>
        <v>57077.374406288996</v>
      </c>
      <c r="F11">
        <f t="shared" si="0"/>
        <v>8.4688279148955242E-2</v>
      </c>
      <c r="G11">
        <f t="shared" si="1"/>
        <v>2.3606595105379564E-2</v>
      </c>
      <c r="H11">
        <f t="shared" si="2"/>
        <v>-6.9851506935231747E-2</v>
      </c>
      <c r="I11">
        <f t="shared" si="3"/>
        <v>5.5727133246933041E-4</v>
      </c>
      <c r="J11">
        <f t="shared" si="4"/>
        <v>2.3606595105379564E-2</v>
      </c>
      <c r="K11">
        <f t="shared" si="5"/>
        <v>-6.2302388244495554E-3</v>
      </c>
      <c r="L11">
        <f t="shared" si="6"/>
        <v>2.8231622851808625E-2</v>
      </c>
    </row>
    <row r="12" spans="1:12" x14ac:dyDescent="0.35">
      <c r="A12" s="1">
        <v>44136</v>
      </c>
      <c r="B12" s="2">
        <v>455040.67858878832</v>
      </c>
      <c r="C12" s="3">
        <f>VLOOKUP(A12,[1]VIX_MDA!A12:B90,2,0)</f>
        <v>21.011000000000003</v>
      </c>
      <c r="D12">
        <f>VLOOKUP(A12,[1]FO_MDA!A11:B90,2,0)</f>
        <v>3219513.399689442</v>
      </c>
      <c r="E12" s="2">
        <f>VLOOKUP(A12,[1]CM_MDA!A12:B90,2,0)</f>
        <v>76345.746174319298</v>
      </c>
      <c r="F12">
        <f t="shared" si="0"/>
        <v>8.400659430371317E-2</v>
      </c>
      <c r="G12">
        <f t="shared" si="1"/>
        <v>-2.6836691020628481E-2</v>
      </c>
      <c r="H12">
        <f t="shared" si="2"/>
        <v>0.29086452224094322</v>
      </c>
      <c r="I12">
        <f t="shared" si="3"/>
        <v>7.2020798493668131E-4</v>
      </c>
      <c r="J12">
        <f t="shared" si="4"/>
        <v>0</v>
      </c>
      <c r="K12">
        <f t="shared" si="5"/>
        <v>2.3606595105379564E-2</v>
      </c>
      <c r="L12">
        <f t="shared" si="6"/>
        <v>8.4688279148955242E-2</v>
      </c>
    </row>
    <row r="13" spans="1:12" x14ac:dyDescent="0.35">
      <c r="A13" s="1">
        <v>44166</v>
      </c>
      <c r="B13" s="2">
        <v>518439.09354047594</v>
      </c>
      <c r="C13" s="3">
        <f>VLOOKUP(A13,[1]VIX_MDA!A13:B91,2,0)</f>
        <v>19.771363636363638</v>
      </c>
      <c r="D13">
        <f>VLOOKUP(A13,[1]FO_MDA!A12:B91,2,0)</f>
        <v>3283623.53670893</v>
      </c>
      <c r="E13" s="2">
        <f>VLOOKUP(A13,[1]CM_MDA!A13:B91,2,0)</f>
        <v>70513.135366875969</v>
      </c>
      <c r="F13">
        <f t="shared" si="0"/>
        <v>0.13043573567040431</v>
      </c>
      <c r="G13">
        <f t="shared" si="1"/>
        <v>-6.0811500272015928E-2</v>
      </c>
      <c r="H13">
        <f t="shared" si="2"/>
        <v>-7.9473305579366493E-2</v>
      </c>
      <c r="I13">
        <f t="shared" si="3"/>
        <v>3.6980385653333932E-3</v>
      </c>
      <c r="J13">
        <f t="shared" si="4"/>
        <v>0</v>
      </c>
      <c r="K13">
        <f t="shared" si="5"/>
        <v>-2.6836691020628481E-2</v>
      </c>
      <c r="L13">
        <f t="shared" si="6"/>
        <v>8.400659430371317E-2</v>
      </c>
    </row>
    <row r="14" spans="1:12" x14ac:dyDescent="0.35">
      <c r="A14" s="1">
        <v>44197</v>
      </c>
      <c r="B14" s="2">
        <v>541252.8650063111</v>
      </c>
      <c r="C14" s="3">
        <f>VLOOKUP(A14,[1]VIX_MDA!A14:B92,2,0)</f>
        <v>22.428750000000001</v>
      </c>
      <c r="D14">
        <f>VLOOKUP(A14,[1]FO_MDA!A13:B92,2,0)</f>
        <v>3812872.9766921201</v>
      </c>
      <c r="E14" s="2">
        <f>VLOOKUP(A14,[1]CM_MDA!A14:B92,2,0)</f>
        <v>81252.205165129955</v>
      </c>
      <c r="F14">
        <f t="shared" si="0"/>
        <v>4.3064018499947454E-2</v>
      </c>
      <c r="G14">
        <f t="shared" si="1"/>
        <v>0.12610900820984311</v>
      </c>
      <c r="H14">
        <f t="shared" si="2"/>
        <v>0.14175895161148769</v>
      </c>
      <c r="I14">
        <f t="shared" si="3"/>
        <v>1.5903481951670278E-2</v>
      </c>
      <c r="J14">
        <f t="shared" si="4"/>
        <v>0.12610900820984311</v>
      </c>
      <c r="K14">
        <f t="shared" si="5"/>
        <v>-6.0811500272015928E-2</v>
      </c>
      <c r="L14">
        <f t="shared" si="6"/>
        <v>0.13043573567040431</v>
      </c>
    </row>
    <row r="15" spans="1:12" x14ac:dyDescent="0.35">
      <c r="A15" s="1">
        <v>44228</v>
      </c>
      <c r="B15" s="2">
        <v>592710.2257869778</v>
      </c>
      <c r="C15" s="3">
        <f>VLOOKUP(A15,[1]VIX_MDA!A15:B93,2,0)</f>
        <v>23.483625000000011</v>
      </c>
      <c r="D15">
        <f>VLOOKUP(A15,[1]FO_MDA!A14:B93,2,0)</f>
        <v>4590800.2241419386</v>
      </c>
      <c r="E15" s="2">
        <f>VLOOKUP(A15,[1]CM_MDA!A15:B93,2,0)</f>
        <v>91882.088065824195</v>
      </c>
      <c r="F15">
        <f t="shared" si="0"/>
        <v>9.0819048916511422E-2</v>
      </c>
      <c r="G15">
        <f t="shared" si="1"/>
        <v>4.5959751710850191E-2</v>
      </c>
      <c r="H15">
        <f t="shared" si="2"/>
        <v>0.12294814223748449</v>
      </c>
      <c r="I15">
        <f t="shared" si="3"/>
        <v>2.1122987773229971E-3</v>
      </c>
      <c r="J15">
        <f t="shared" si="4"/>
        <v>4.5959751710850191E-2</v>
      </c>
      <c r="K15">
        <f t="shared" si="5"/>
        <v>0.12610900820984311</v>
      </c>
      <c r="L15">
        <f t="shared" si="6"/>
        <v>4.3064018499947454E-2</v>
      </c>
    </row>
    <row r="16" spans="1:12" x14ac:dyDescent="0.35">
      <c r="A16" s="1">
        <v>44256</v>
      </c>
      <c r="B16" s="2">
        <v>586615.22087879712</v>
      </c>
      <c r="C16" s="3">
        <f>VLOOKUP(A16,[1]VIX_MDA!A16:B94,2,0)</f>
        <v>21.931071428571425</v>
      </c>
      <c r="D16">
        <f>VLOOKUP(A16,[1]FO_MDA!A15:B94,2,0)</f>
        <v>4688695.3129239017</v>
      </c>
      <c r="E16" s="2">
        <f>VLOOKUP(A16,[1]CM_MDA!A16:B94,2,0)</f>
        <v>75693.326357939091</v>
      </c>
      <c r="F16">
        <f t="shared" si="0"/>
        <v>-1.0336517698323385E-2</v>
      </c>
      <c r="G16">
        <f t="shared" si="1"/>
        <v>-6.8398951767242006E-2</v>
      </c>
      <c r="H16">
        <f t="shared" si="2"/>
        <v>-0.1938161060918806</v>
      </c>
      <c r="I16">
        <f t="shared" si="3"/>
        <v>4.6784166028574986E-3</v>
      </c>
      <c r="J16">
        <f t="shared" si="4"/>
        <v>0</v>
      </c>
      <c r="K16">
        <f t="shared" si="5"/>
        <v>4.5959751710850191E-2</v>
      </c>
      <c r="L16">
        <f t="shared" si="6"/>
        <v>9.0819048916511422E-2</v>
      </c>
    </row>
    <row r="17" spans="1:12" x14ac:dyDescent="0.35">
      <c r="A17" s="1">
        <v>44287</v>
      </c>
      <c r="B17" s="2">
        <v>563253.45711717219</v>
      </c>
      <c r="C17" s="3">
        <f>VLOOKUP(A17,[1]VIX_MDA!A17:B95,2,0)</f>
        <v>21.749999999999996</v>
      </c>
      <c r="D17">
        <f>VLOOKUP(A17,[1]FO_MDA!A16:B95,2,0)</f>
        <v>4948265.4716743501</v>
      </c>
      <c r="E17" s="2">
        <f>VLOOKUP(A17,[1]CM_MDA!A17:B95,2,0)</f>
        <v>77779.68738202368</v>
      </c>
      <c r="F17">
        <f t="shared" si="0"/>
        <v>-4.0639386739213697E-2</v>
      </c>
      <c r="G17">
        <f t="shared" si="1"/>
        <v>-8.2906604536546625E-3</v>
      </c>
      <c r="H17">
        <f t="shared" si="2"/>
        <v>2.7190311979317143E-2</v>
      </c>
      <c r="I17">
        <f t="shared" si="3"/>
        <v>6.8735050757793339E-5</v>
      </c>
      <c r="J17">
        <f t="shared" si="4"/>
        <v>0</v>
      </c>
      <c r="K17">
        <f t="shared" si="5"/>
        <v>-6.8398951767242006E-2</v>
      </c>
      <c r="L17">
        <f t="shared" si="6"/>
        <v>-1.0336517698323385E-2</v>
      </c>
    </row>
    <row r="18" spans="1:12" x14ac:dyDescent="0.35">
      <c r="A18" s="1">
        <v>44317</v>
      </c>
      <c r="B18" s="2">
        <v>633396.28716006991</v>
      </c>
      <c r="C18" s="3">
        <f>VLOOKUP(A18,[1]VIX_MDA!A18:B96,2,0)</f>
        <v>20.093249999999998</v>
      </c>
      <c r="D18">
        <f>VLOOKUP(A18,[1]FO_MDA!A17:B96,2,0)</f>
        <v>4634663.4729028316</v>
      </c>
      <c r="E18" s="2">
        <f>VLOOKUP(A18,[1]CM_MDA!A18:B96,2,0)</f>
        <v>88363.166057468145</v>
      </c>
      <c r="F18">
        <f t="shared" si="0"/>
        <v>0.11736655522968481</v>
      </c>
      <c r="G18">
        <f t="shared" si="1"/>
        <v>-7.9229819765649578E-2</v>
      </c>
      <c r="H18">
        <f t="shared" si="2"/>
        <v>0.12757489979261807</v>
      </c>
      <c r="I18">
        <f t="shared" si="3"/>
        <v>6.2773643400973163E-3</v>
      </c>
      <c r="J18">
        <f t="shared" si="4"/>
        <v>0</v>
      </c>
      <c r="K18">
        <f t="shared" si="5"/>
        <v>-8.2906604536546625E-3</v>
      </c>
      <c r="L18">
        <f t="shared" si="6"/>
        <v>-4.0639386739213697E-2</v>
      </c>
    </row>
    <row r="19" spans="1:12" x14ac:dyDescent="0.35">
      <c r="A19" s="1">
        <v>44348</v>
      </c>
      <c r="B19" s="2">
        <v>691393.39530246658</v>
      </c>
      <c r="C19" s="3">
        <f>VLOOKUP(A19,[1]VIX_MDA!A19:B97,2,0)</f>
        <v>14.921818181818184</v>
      </c>
      <c r="D19">
        <f>VLOOKUP(A19,[1]FO_MDA!A18:B97,2,0)</f>
        <v>4894655.0352812726</v>
      </c>
      <c r="E19" s="2">
        <f>VLOOKUP(A19,[1]CM_MDA!A19:B97,2,0)</f>
        <v>81098.218206319536</v>
      </c>
      <c r="F19">
        <f t="shared" si="0"/>
        <v>8.7612702473111523E-2</v>
      </c>
      <c r="G19">
        <f t="shared" si="1"/>
        <v>-0.29755948836584817</v>
      </c>
      <c r="H19">
        <f t="shared" si="2"/>
        <v>-8.5794218701962924E-2</v>
      </c>
      <c r="I19">
        <f t="shared" si="3"/>
        <v>8.8541649116545329E-2</v>
      </c>
      <c r="J19">
        <f t="shared" si="4"/>
        <v>0</v>
      </c>
      <c r="K19">
        <f t="shared" si="5"/>
        <v>-7.9229819765649578E-2</v>
      </c>
      <c r="L19">
        <f t="shared" si="6"/>
        <v>0.11736655522968481</v>
      </c>
    </row>
    <row r="20" spans="1:12" x14ac:dyDescent="0.35">
      <c r="A20" s="1">
        <v>44378</v>
      </c>
      <c r="B20" s="2">
        <v>739625.66055833455</v>
      </c>
      <c r="C20" s="3">
        <f>VLOOKUP(A20,[1]VIX_MDA!A20:B98,2,0)</f>
        <v>12.610595238095238</v>
      </c>
      <c r="D20">
        <f>VLOOKUP(A20,[1]FO_MDA!A19:B98,2,0)</f>
        <v>5659761.2721832423</v>
      </c>
      <c r="E20" s="2">
        <f>VLOOKUP(A20,[1]CM_MDA!A20:B98,2,0)</f>
        <v>71203.010238836228</v>
      </c>
      <c r="F20">
        <f t="shared" si="0"/>
        <v>6.7435219296780063E-2</v>
      </c>
      <c r="G20">
        <f t="shared" si="1"/>
        <v>-0.16828709688497337</v>
      </c>
      <c r="H20">
        <f t="shared" si="2"/>
        <v>-0.13012589439147973</v>
      </c>
      <c r="I20">
        <f t="shared" si="3"/>
        <v>2.8320546977972413E-2</v>
      </c>
      <c r="J20">
        <f t="shared" si="4"/>
        <v>0</v>
      </c>
      <c r="K20">
        <f t="shared" si="5"/>
        <v>-0.29755948836584817</v>
      </c>
      <c r="L20">
        <f t="shared" si="6"/>
        <v>8.7612702473111523E-2</v>
      </c>
    </row>
    <row r="21" spans="1:12" x14ac:dyDescent="0.35">
      <c r="A21" s="1">
        <v>44409</v>
      </c>
      <c r="B21" s="2">
        <v>802926.47022881533</v>
      </c>
      <c r="C21" s="3">
        <f>VLOOKUP(A21,[1]VIX_MDA!A21:B99,2,0)</f>
        <v>13.217619047619047</v>
      </c>
      <c r="D21">
        <f>VLOOKUP(A21,[1]FO_MDA!A20:B99,2,0)</f>
        <v>6028522.5055154096</v>
      </c>
      <c r="E21" s="2">
        <f>VLOOKUP(A21,[1]CM_MDA!A21:B99,2,0)</f>
        <v>70224.057158932104</v>
      </c>
      <c r="F21">
        <f t="shared" si="0"/>
        <v>8.2118946827773875E-2</v>
      </c>
      <c r="G21">
        <f t="shared" si="1"/>
        <v>4.7013363386846668E-2</v>
      </c>
      <c r="H21">
        <f t="shared" si="2"/>
        <v>-1.3844149262479122E-2</v>
      </c>
      <c r="I21">
        <f t="shared" si="3"/>
        <v>2.210256336943695E-3</v>
      </c>
      <c r="J21">
        <f t="shared" si="4"/>
        <v>4.7013363386846668E-2</v>
      </c>
      <c r="K21">
        <f t="shared" si="5"/>
        <v>-0.16828709688497337</v>
      </c>
      <c r="L21">
        <f t="shared" si="6"/>
        <v>6.7435219296780063E-2</v>
      </c>
    </row>
    <row r="22" spans="1:12" x14ac:dyDescent="0.35">
      <c r="A22" s="1">
        <v>44440</v>
      </c>
      <c r="B22" s="2">
        <v>913105.56779519399</v>
      </c>
      <c r="C22" s="3">
        <f>VLOOKUP(A22,[1]VIX_MDA!A22:B100,2,0)</f>
        <v>15.721547619047618</v>
      </c>
      <c r="D22">
        <f>VLOOKUP(A22,[1]FO_MDA!A21:B100,2,0)</f>
        <v>7002866.0042342264</v>
      </c>
      <c r="E22" s="2">
        <f>VLOOKUP(A22,[1]CM_MDA!A22:B100,2,0)</f>
        <v>78297.011739564026</v>
      </c>
      <c r="F22">
        <f t="shared" si="0"/>
        <v>0.12858836036441557</v>
      </c>
      <c r="G22">
        <f t="shared" si="1"/>
        <v>0.17348151529903319</v>
      </c>
      <c r="H22">
        <f t="shared" si="2"/>
        <v>0.10881849112573895</v>
      </c>
      <c r="I22">
        <f t="shared" si="3"/>
        <v>3.0095836150448686E-2</v>
      </c>
      <c r="J22">
        <f t="shared" si="4"/>
        <v>0.17348151529903319</v>
      </c>
      <c r="K22">
        <f t="shared" si="5"/>
        <v>4.7013363386846668E-2</v>
      </c>
      <c r="L22">
        <f t="shared" si="6"/>
        <v>8.2118946827773875E-2</v>
      </c>
    </row>
    <row r="23" spans="1:12" x14ac:dyDescent="0.35">
      <c r="A23" s="1">
        <v>44470</v>
      </c>
      <c r="B23" s="2">
        <v>940195.82807425165</v>
      </c>
      <c r="C23" s="3">
        <f>VLOOKUP(A23,[1]VIX_MDA!A23:B101,2,0)</f>
        <v>16.913500000000003</v>
      </c>
      <c r="D23">
        <f>VLOOKUP(A23,[1]FO_MDA!A22:B101,2,0)</f>
        <v>7205243.5770300953</v>
      </c>
      <c r="E23" s="2">
        <f>VLOOKUP(A23,[1]CM_MDA!A23:B101,2,0)</f>
        <v>92944.66560286512</v>
      </c>
      <c r="F23">
        <f t="shared" si="0"/>
        <v>2.9236680017774255E-2</v>
      </c>
      <c r="G23">
        <f t="shared" si="1"/>
        <v>7.3079888408827703E-2</v>
      </c>
      <c r="H23">
        <f t="shared" si="2"/>
        <v>0.1714948845339756</v>
      </c>
      <c r="I23">
        <f t="shared" si="3"/>
        <v>5.3406700898467096E-3</v>
      </c>
      <c r="J23">
        <f t="shared" si="4"/>
        <v>7.3079888408827703E-2</v>
      </c>
      <c r="K23">
        <f t="shared" si="5"/>
        <v>0.17348151529903319</v>
      </c>
      <c r="L23">
        <f t="shared" si="6"/>
        <v>0.12858836036441557</v>
      </c>
    </row>
    <row r="24" spans="1:12" x14ac:dyDescent="0.35">
      <c r="A24" s="1">
        <v>44501</v>
      </c>
      <c r="B24" s="2">
        <v>924909.41249825526</v>
      </c>
      <c r="C24" s="3">
        <f>VLOOKUP(A24,[1]VIX_MDA!A24:B102,2,0)</f>
        <v>16.948875000000001</v>
      </c>
      <c r="D24">
        <f>VLOOKUP(A24,[1]FO_MDA!A23:B102,2,0)</f>
        <v>7840209.5461700791</v>
      </c>
      <c r="E24" s="2">
        <f>VLOOKUP(A24,[1]CM_MDA!A24:B102,2,0)</f>
        <v>78487.245287156999</v>
      </c>
      <c r="F24">
        <f t="shared" si="0"/>
        <v>-1.639238102299255E-2</v>
      </c>
      <c r="G24">
        <f t="shared" si="1"/>
        <v>2.0893403294166501E-3</v>
      </c>
      <c r="H24">
        <f t="shared" si="2"/>
        <v>-0.16906819138818222</v>
      </c>
      <c r="I24">
        <f t="shared" si="3"/>
        <v>4.3653430121268755E-6</v>
      </c>
      <c r="J24">
        <f t="shared" si="4"/>
        <v>2.0893403294166501E-3</v>
      </c>
      <c r="K24">
        <f t="shared" si="5"/>
        <v>7.3079888408827703E-2</v>
      </c>
      <c r="L24">
        <f t="shared" si="6"/>
        <v>2.9236680017774255E-2</v>
      </c>
    </row>
    <row r="25" spans="1:12" x14ac:dyDescent="0.35">
      <c r="A25" s="1">
        <v>44531</v>
      </c>
      <c r="B25" s="2">
        <v>922403.33660535607</v>
      </c>
      <c r="C25" s="3">
        <f>VLOOKUP(A25,[1]VIX_MDA!A25:B103,2,0)</f>
        <v>17.178478260869568</v>
      </c>
      <c r="D25">
        <f>VLOOKUP(A25,[1]FO_MDA!A24:B103,2,0)</f>
        <v>7741038.3718543639</v>
      </c>
      <c r="E25" s="2">
        <f>VLOOKUP(A25,[1]CM_MDA!A25:B103,2,0)</f>
        <v>60133.109102888906</v>
      </c>
      <c r="F25">
        <f t="shared" si="0"/>
        <v>-2.7132140256104411E-3</v>
      </c>
      <c r="G25">
        <f t="shared" si="1"/>
        <v>1.3455876489820121E-2</v>
      </c>
      <c r="H25">
        <f t="shared" si="2"/>
        <v>-0.26637554110280282</v>
      </c>
      <c r="I25">
        <f t="shared" si="3"/>
        <v>1.8106061210929384E-4</v>
      </c>
      <c r="J25">
        <f t="shared" si="4"/>
        <v>1.3455876489820121E-2</v>
      </c>
      <c r="K25">
        <f t="shared" si="5"/>
        <v>2.0893403294166501E-3</v>
      </c>
      <c r="L25">
        <f t="shared" si="6"/>
        <v>-1.639238102299255E-2</v>
      </c>
    </row>
    <row r="26" spans="1:12" x14ac:dyDescent="0.35">
      <c r="A26" s="1">
        <v>44562</v>
      </c>
      <c r="B26" s="2">
        <v>917933.02153782861</v>
      </c>
      <c r="C26" s="3">
        <f>VLOOKUP(A26,[1]VIX_MDA!A26:B104,2,0)</f>
        <v>18.409624999999998</v>
      </c>
      <c r="D26">
        <f>VLOOKUP(A26,[1]FO_MDA!A25:B104,2,0)</f>
        <v>9202291.7138526775</v>
      </c>
      <c r="E26" s="2">
        <f>VLOOKUP(A26,[1]CM_MDA!A26:B104,2,0)</f>
        <v>73140.718052593395</v>
      </c>
      <c r="F26">
        <f t="shared" si="0"/>
        <v>-4.8581595858843418E-3</v>
      </c>
      <c r="G26">
        <f t="shared" si="1"/>
        <v>6.9216289240886422E-2</v>
      </c>
      <c r="H26">
        <f t="shared" si="2"/>
        <v>0.19582464011603598</v>
      </c>
      <c r="I26">
        <f t="shared" si="3"/>
        <v>4.7908946962780495E-3</v>
      </c>
      <c r="J26">
        <f t="shared" si="4"/>
        <v>6.9216289240886422E-2</v>
      </c>
      <c r="K26">
        <f t="shared" si="5"/>
        <v>1.3455876489820121E-2</v>
      </c>
      <c r="L26">
        <f t="shared" si="6"/>
        <v>-2.7132140256104411E-3</v>
      </c>
    </row>
    <row r="27" spans="1:12" x14ac:dyDescent="0.35">
      <c r="A27" s="1">
        <v>44593</v>
      </c>
      <c r="B27" s="2">
        <v>951435.14728822967</v>
      </c>
      <c r="C27" s="3">
        <f>VLOOKUP(A27,[1]VIX_MDA!A27:B105,2,0)</f>
        <v>22.075250000000004</v>
      </c>
      <c r="D27">
        <f>VLOOKUP(A27,[1]FO_MDA!A26:B105,2,0)</f>
        <v>10151865.699134922</v>
      </c>
      <c r="E27" s="2">
        <f>VLOOKUP(A27,[1]CM_MDA!A27:B105,2,0)</f>
        <v>66828.692810147899</v>
      </c>
      <c r="F27">
        <f t="shared" si="0"/>
        <v>3.5847099348524286E-2</v>
      </c>
      <c r="G27">
        <f t="shared" si="1"/>
        <v>0.18158344578115659</v>
      </c>
      <c r="H27">
        <f t="shared" si="2"/>
        <v>-9.0252708776122473E-2</v>
      </c>
      <c r="I27">
        <f t="shared" si="3"/>
        <v>3.2972547781758239E-2</v>
      </c>
      <c r="J27">
        <f t="shared" si="4"/>
        <v>0.18158344578115659</v>
      </c>
      <c r="K27">
        <f t="shared" si="5"/>
        <v>6.9216289240886422E-2</v>
      </c>
      <c r="L27">
        <f t="shared" si="6"/>
        <v>-4.8581595858843418E-3</v>
      </c>
    </row>
    <row r="28" spans="1:12" x14ac:dyDescent="0.35">
      <c r="A28" s="1">
        <v>44621</v>
      </c>
      <c r="B28" s="2">
        <v>967157.61316651455</v>
      </c>
      <c r="C28" s="3">
        <f>VLOOKUP(A28,[1]VIX_MDA!A28:B106,2,0)</f>
        <v>25.079761904761909</v>
      </c>
      <c r="D28">
        <f>VLOOKUP(A28,[1]FO_MDA!A27:B106,2,0)</f>
        <v>9698039.7837726735</v>
      </c>
      <c r="E28" s="2">
        <f>VLOOKUP(A28,[1]CM_MDA!A28:B106,2,0)</f>
        <v>73180.323214307995</v>
      </c>
      <c r="F28">
        <f t="shared" si="0"/>
        <v>1.6389948051303633E-2</v>
      </c>
      <c r="G28">
        <f t="shared" si="1"/>
        <v>0.12760415083490242</v>
      </c>
      <c r="H28">
        <f t="shared" si="2"/>
        <v>9.0794054878349323E-2</v>
      </c>
      <c r="I28">
        <f t="shared" si="3"/>
        <v>1.6282819310296529E-2</v>
      </c>
      <c r="J28">
        <f t="shared" si="4"/>
        <v>0.12760415083490242</v>
      </c>
      <c r="K28">
        <f t="shared" si="5"/>
        <v>0.18158344578115659</v>
      </c>
      <c r="L28">
        <f t="shared" si="6"/>
        <v>3.5847099348524286E-2</v>
      </c>
    </row>
    <row r="29" spans="1:12" x14ac:dyDescent="0.35">
      <c r="A29" s="1">
        <v>44652</v>
      </c>
      <c r="B29" s="2">
        <v>982280.30541438702</v>
      </c>
      <c r="C29" s="3">
        <f>VLOOKUP(A29,[1]VIX_MDA!A29:B107,2,0)</f>
        <v>18.87263157894737</v>
      </c>
      <c r="D29">
        <f>VLOOKUP(A29,[1]FO_MDA!A28:B107,2,0)</f>
        <v>10518902.604788512</v>
      </c>
      <c r="E29" s="2">
        <f>VLOOKUP(A29,[1]CM_MDA!A29:B107,2,0)</f>
        <v>77540.355875076377</v>
      </c>
      <c r="F29">
        <f t="shared" si="0"/>
        <v>1.5515236948011183E-2</v>
      </c>
      <c r="G29">
        <f t="shared" si="1"/>
        <v>-0.28434841428827035</v>
      </c>
      <c r="H29">
        <f t="shared" si="2"/>
        <v>5.7871945515843973E-2</v>
      </c>
      <c r="I29">
        <f t="shared" si="3"/>
        <v>8.0854020708253829E-2</v>
      </c>
      <c r="J29">
        <f t="shared" si="4"/>
        <v>0</v>
      </c>
      <c r="K29">
        <f t="shared" si="5"/>
        <v>0.12760415083490242</v>
      </c>
      <c r="L29">
        <f t="shared" si="6"/>
        <v>1.6389948051303633E-2</v>
      </c>
    </row>
    <row r="30" spans="1:12" x14ac:dyDescent="0.35">
      <c r="A30" s="1">
        <v>44682</v>
      </c>
      <c r="B30" s="2">
        <v>932310.13461958477</v>
      </c>
      <c r="C30" s="3">
        <f>VLOOKUP(A30,[1]VIX_MDA!A30:B108,2,0)</f>
        <v>22.608690476190482</v>
      </c>
      <c r="D30">
        <f>VLOOKUP(A30,[1]FO_MDA!A29:B108,2,0)</f>
        <v>10315972.813486869</v>
      </c>
      <c r="E30" s="2">
        <f>VLOOKUP(A30,[1]CM_MDA!A30:B108,2,0)</f>
        <v>65123.398241626863</v>
      </c>
      <c r="F30">
        <f t="shared" si="0"/>
        <v>-5.2211189218950467E-2</v>
      </c>
      <c r="G30">
        <f t="shared" si="1"/>
        <v>0.1806215587077277</v>
      </c>
      <c r="H30">
        <f t="shared" si="2"/>
        <v>-0.17451461716701289</v>
      </c>
      <c r="I30">
        <f t="shared" si="3"/>
        <v>3.2624147470009121E-2</v>
      </c>
      <c r="J30">
        <f t="shared" si="4"/>
        <v>0.1806215587077277</v>
      </c>
      <c r="K30">
        <f t="shared" si="5"/>
        <v>-0.28434841428827035</v>
      </c>
      <c r="L30">
        <f t="shared" si="6"/>
        <v>1.5515236948011183E-2</v>
      </c>
    </row>
    <row r="31" spans="1:12" x14ac:dyDescent="0.35">
      <c r="A31" s="1">
        <v>44713</v>
      </c>
      <c r="B31" s="2">
        <v>950762.48687366548</v>
      </c>
      <c r="C31" s="3">
        <f>VLOOKUP(A31,[1]VIX_MDA!A31:B109,2,0)</f>
        <v>21.128409090909091</v>
      </c>
      <c r="D31">
        <f>VLOOKUP(A31,[1]FO_MDA!A30:B109,2,0)</f>
        <v>11104983.887868512</v>
      </c>
      <c r="E31" s="2">
        <f>VLOOKUP(A31,[1]CM_MDA!A31:B109,2,0)</f>
        <v>48968.568805764342</v>
      </c>
      <c r="F31">
        <f t="shared" si="0"/>
        <v>1.9598758631141515E-2</v>
      </c>
      <c r="G31">
        <f t="shared" si="1"/>
        <v>-6.7715829400757904E-2</v>
      </c>
      <c r="H31">
        <f t="shared" si="2"/>
        <v>-0.28510526528481628</v>
      </c>
      <c r="I31">
        <f t="shared" si="3"/>
        <v>4.5854335514325488E-3</v>
      </c>
      <c r="J31">
        <f t="shared" si="4"/>
        <v>0</v>
      </c>
      <c r="K31">
        <f t="shared" si="5"/>
        <v>0.1806215587077277</v>
      </c>
      <c r="L31">
        <f t="shared" si="6"/>
        <v>-5.2211189218950467E-2</v>
      </c>
    </row>
    <row r="32" spans="1:12" x14ac:dyDescent="0.35">
      <c r="A32" s="1">
        <v>44743</v>
      </c>
      <c r="B32" s="2">
        <v>955394.58916314377</v>
      </c>
      <c r="C32" s="3">
        <f>VLOOKUP(A32,[1]VIX_MDA!A32:B110,2,0)</f>
        <v>18.308690476190478</v>
      </c>
      <c r="D32">
        <f>VLOOKUP(A32,[1]FO_MDA!A31:B110,2,0)</f>
        <v>11133078.774413537</v>
      </c>
      <c r="E32" s="2">
        <f>VLOOKUP(A32,[1]CM_MDA!A32:B110,2,0)</f>
        <v>51049.687605442232</v>
      </c>
      <c r="F32">
        <f t="shared" si="0"/>
        <v>4.8601570832366098E-3</v>
      </c>
      <c r="G32">
        <f t="shared" si="1"/>
        <v>-0.14324270077540885</v>
      </c>
      <c r="H32">
        <f t="shared" si="2"/>
        <v>4.1620785859779325E-2</v>
      </c>
      <c r="I32">
        <f t="shared" si="3"/>
        <v>2.0518471325433316E-2</v>
      </c>
      <c r="J32">
        <f t="shared" si="4"/>
        <v>0</v>
      </c>
      <c r="K32">
        <f t="shared" si="5"/>
        <v>-6.7715829400757904E-2</v>
      </c>
      <c r="L32">
        <f t="shared" si="6"/>
        <v>1.9598758631141515E-2</v>
      </c>
    </row>
    <row r="33" spans="1:12" x14ac:dyDescent="0.35">
      <c r="A33" s="1">
        <v>44774</v>
      </c>
      <c r="B33" s="2">
        <v>1091424.0874592862</v>
      </c>
      <c r="C33" s="3">
        <f>VLOOKUP(A33,[1]VIX_MDA!A33:B111,2,0)</f>
        <v>18.565624999999997</v>
      </c>
      <c r="D33">
        <f>VLOOKUP(A33,[1]FO_MDA!A32:B111,2,0)</f>
        <v>13632647.6549036</v>
      </c>
      <c r="E33" s="2">
        <f>VLOOKUP(A33,[1]CM_MDA!A33:B111,2,0)</f>
        <v>66636.114343493216</v>
      </c>
      <c r="F33">
        <f t="shared" si="0"/>
        <v>0.13311418723380752</v>
      </c>
      <c r="G33">
        <f t="shared" si="1"/>
        <v>1.393591602956722E-2</v>
      </c>
      <c r="H33">
        <f t="shared" si="2"/>
        <v>0.26644726277986808</v>
      </c>
      <c r="I33">
        <f t="shared" si="3"/>
        <v>1.9420975558314858E-4</v>
      </c>
      <c r="J33">
        <f t="shared" si="4"/>
        <v>1.393591602956722E-2</v>
      </c>
      <c r="K33">
        <f t="shared" si="5"/>
        <v>-0.14324270077540885</v>
      </c>
      <c r="L33">
        <f t="shared" si="6"/>
        <v>4.8601570832366098E-3</v>
      </c>
    </row>
    <row r="34" spans="1:12" x14ac:dyDescent="0.35">
      <c r="A34" s="1">
        <v>44805</v>
      </c>
      <c r="B34" s="2">
        <v>1159872.1494074161</v>
      </c>
      <c r="C34" s="3">
        <f>VLOOKUP(A34,[1]VIX_MDA!A34:B112,2,0)</f>
        <v>19.554318181818179</v>
      </c>
      <c r="D34">
        <f>VLOOKUP(A34,[1]FO_MDA!A33:B112,2,0)</f>
        <v>15238984.568565637</v>
      </c>
      <c r="E34" s="2">
        <f>VLOOKUP(A34,[1]CM_MDA!A34:B112,2,0)</f>
        <v>69738.444432646938</v>
      </c>
      <c r="F34">
        <f t="shared" si="0"/>
        <v>6.0826437250096024E-2</v>
      </c>
      <c r="G34">
        <f t="shared" si="1"/>
        <v>5.1884388344640667E-2</v>
      </c>
      <c r="H34">
        <f t="shared" si="2"/>
        <v>4.5505047772222182E-2</v>
      </c>
      <c r="I34">
        <f t="shared" si="3"/>
        <v>2.6919897538974845E-3</v>
      </c>
      <c r="J34">
        <f t="shared" si="4"/>
        <v>5.1884388344640667E-2</v>
      </c>
      <c r="K34">
        <f t="shared" si="5"/>
        <v>1.393591602956722E-2</v>
      </c>
      <c r="L34">
        <f t="shared" si="6"/>
        <v>0.13311418723380752</v>
      </c>
    </row>
    <row r="35" spans="1:12" x14ac:dyDescent="0.35">
      <c r="A35" s="1">
        <v>44835</v>
      </c>
      <c r="B35" s="2">
        <v>1098983.3740334779</v>
      </c>
      <c r="C35" s="3">
        <f>VLOOKUP(A35,[1]VIX_MDA!A35:B113,2,0)</f>
        <v>18.336447368421059</v>
      </c>
      <c r="D35">
        <f>VLOOKUP(A35,[1]FO_MDA!A34:B113,2,0)</f>
        <v>15069443.273683928</v>
      </c>
      <c r="E35" s="2">
        <f>VLOOKUP(A35,[1]CM_MDA!A35:B113,2,0)</f>
        <v>55072.94639933834</v>
      </c>
      <c r="F35">
        <f t="shared" si="0"/>
        <v>-5.3924235976891124E-2</v>
      </c>
      <c r="G35">
        <f t="shared" si="1"/>
        <v>-6.4305402306892953E-2</v>
      </c>
      <c r="H35">
        <f t="shared" si="2"/>
        <v>-0.23609313111420088</v>
      </c>
      <c r="I35">
        <f t="shared" si="3"/>
        <v>4.1351847658513538E-3</v>
      </c>
      <c r="J35">
        <f t="shared" si="4"/>
        <v>0</v>
      </c>
      <c r="K35">
        <f t="shared" si="5"/>
        <v>5.1884388344640667E-2</v>
      </c>
      <c r="L35">
        <f t="shared" si="6"/>
        <v>6.0826437250096024E-2</v>
      </c>
    </row>
    <row r="36" spans="1:12" x14ac:dyDescent="0.35">
      <c r="A36" s="1">
        <v>44866</v>
      </c>
      <c r="B36" s="2">
        <v>1239724.2166182152</v>
      </c>
      <c r="C36" s="3">
        <f>VLOOKUP(A36,[1]VIX_MDA!A36:B114,2,0)</f>
        <v>14.774047619047618</v>
      </c>
      <c r="D36">
        <f>VLOOKUP(A36,[1]FO_MDA!A35:B114,2,0)</f>
        <v>14726981.040120175</v>
      </c>
      <c r="E36" s="2">
        <f>VLOOKUP(A36,[1]CM_MDA!A36:B114,2,0)</f>
        <v>62730.513171098508</v>
      </c>
      <c r="F36">
        <f t="shared" si="0"/>
        <v>0.12050340188896173</v>
      </c>
      <c r="G36">
        <f t="shared" si="1"/>
        <v>-0.21601863633282975</v>
      </c>
      <c r="H36">
        <f t="shared" si="2"/>
        <v>0.13018937806228703</v>
      </c>
      <c r="I36">
        <f t="shared" si="3"/>
        <v>4.6664051243095354E-2</v>
      </c>
      <c r="J36">
        <f t="shared" si="4"/>
        <v>0</v>
      </c>
      <c r="K36">
        <f t="shared" si="5"/>
        <v>-6.4305402306892953E-2</v>
      </c>
      <c r="L36">
        <f t="shared" si="6"/>
        <v>-5.3924235976891124E-2</v>
      </c>
    </row>
    <row r="37" spans="1:12" x14ac:dyDescent="0.35">
      <c r="A37" s="1">
        <v>44896</v>
      </c>
      <c r="B37" s="2">
        <v>1335905.4074401341</v>
      </c>
      <c r="C37" s="3">
        <f>VLOOKUP(A37,[1]VIX_MDA!A37:B115,2,0)</f>
        <v>14.225681818181817</v>
      </c>
      <c r="D37">
        <f>VLOOKUP(A37,[1]FO_MDA!A36:B115,2,0)</f>
        <v>19085781.306538139</v>
      </c>
      <c r="E37" s="2">
        <f>VLOOKUP(A37,[1]CM_MDA!A37:B115,2,0)</f>
        <v>59574.818521501271</v>
      </c>
      <c r="F37">
        <f t="shared" si="0"/>
        <v>7.4720320865523979E-2</v>
      </c>
      <c r="G37">
        <f t="shared" si="1"/>
        <v>-3.7823192423755356E-2</v>
      </c>
      <c r="H37">
        <f t="shared" si="2"/>
        <v>-5.1615005946902173E-2</v>
      </c>
      <c r="I37">
        <f t="shared" si="3"/>
        <v>1.4305938851244245E-3</v>
      </c>
      <c r="J37">
        <f t="shared" si="4"/>
        <v>0</v>
      </c>
      <c r="K37">
        <f t="shared" si="5"/>
        <v>-0.21601863633282975</v>
      </c>
      <c r="L37">
        <f t="shared" si="6"/>
        <v>0.12050340188896173</v>
      </c>
    </row>
    <row r="38" spans="1:12" x14ac:dyDescent="0.35">
      <c r="A38" s="1">
        <v>44927</v>
      </c>
      <c r="B38" s="2">
        <v>1303439.9896989579</v>
      </c>
      <c r="C38" s="3">
        <f>VLOOKUP(A38,[1]VIX_MDA!A38:B116,2,0)</f>
        <v>15.008333333333335</v>
      </c>
      <c r="D38">
        <f>VLOOKUP(A38,[1]FO_MDA!A37:B116,2,0)</f>
        <v>20096130.803253669</v>
      </c>
      <c r="E38" s="2">
        <f>VLOOKUP(A38,[1]CM_MDA!A38:B116,2,0)</f>
        <v>54372.58326448562</v>
      </c>
      <c r="F38">
        <f t="shared" si="0"/>
        <v>-2.460235428394919E-2</v>
      </c>
      <c r="G38">
        <f t="shared" si="1"/>
        <v>5.3556692550778641E-2</v>
      </c>
      <c r="H38">
        <f t="shared" si="2"/>
        <v>-9.1372934050636803E-2</v>
      </c>
      <c r="I38">
        <f t="shared" si="3"/>
        <v>2.8683193169786285E-3</v>
      </c>
      <c r="J38">
        <f t="shared" si="4"/>
        <v>5.3556692550778641E-2</v>
      </c>
      <c r="K38">
        <f t="shared" si="5"/>
        <v>-3.7823192423755356E-2</v>
      </c>
      <c r="L38">
        <f t="shared" si="6"/>
        <v>7.4720320865523979E-2</v>
      </c>
    </row>
    <row r="39" spans="1:12" x14ac:dyDescent="0.35">
      <c r="A39" s="1">
        <v>44958</v>
      </c>
      <c r="B39" s="2">
        <v>1314038.8960650815</v>
      </c>
      <c r="C39" s="3">
        <f>VLOOKUP(A39,[1]VIX_MDA!A39:B117,2,0)</f>
        <v>14.060124999999999</v>
      </c>
      <c r="D39">
        <f>VLOOKUP(A39,[1]FO_MDA!A38:B117,2,0)</f>
        <v>20708737.041776419</v>
      </c>
      <c r="E39" s="2">
        <f>VLOOKUP(A39,[1]CM_MDA!A39:B117,2,0)</f>
        <v>56184.265903741238</v>
      </c>
      <c r="F39">
        <f t="shared" si="0"/>
        <v>8.0986053818987731E-3</v>
      </c>
      <c r="G39">
        <f t="shared" si="1"/>
        <v>-6.5262825581494571E-2</v>
      </c>
      <c r="H39">
        <f t="shared" si="2"/>
        <v>3.2776708865713669E-2</v>
      </c>
      <c r="I39">
        <f t="shared" si="3"/>
        <v>4.2592364028805826E-3</v>
      </c>
      <c r="J39">
        <f t="shared" si="4"/>
        <v>0</v>
      </c>
      <c r="K39">
        <f t="shared" si="5"/>
        <v>5.3556692550778641E-2</v>
      </c>
      <c r="L39">
        <f t="shared" si="6"/>
        <v>-2.460235428394919E-2</v>
      </c>
    </row>
    <row r="40" spans="1:12" x14ac:dyDescent="0.35">
      <c r="A40" s="1">
        <v>44986</v>
      </c>
      <c r="B40" s="2">
        <v>1369359.4319476932</v>
      </c>
      <c r="C40" s="3">
        <f>VLOOKUP(A40,[1]VIX_MDA!A40:B118,2,0)</f>
        <v>14.35464285714286</v>
      </c>
      <c r="D40">
        <f>VLOOKUP(A40,[1]FO_MDA!A39:B118,2,0)</f>
        <v>23472029.381664127</v>
      </c>
      <c r="E40" s="2">
        <f>VLOOKUP(A40,[1]CM_MDA!A40:B118,2,0)</f>
        <v>54508.226142164676</v>
      </c>
      <c r="F40">
        <f t="shared" si="0"/>
        <v>4.1237541683180827E-2</v>
      </c>
      <c r="G40">
        <f t="shared" si="1"/>
        <v>2.0730657115891993E-2</v>
      </c>
      <c r="H40">
        <f t="shared" si="2"/>
        <v>-3.0285122908724017E-2</v>
      </c>
      <c r="I40">
        <f t="shared" si="3"/>
        <v>4.2976014445668333E-4</v>
      </c>
      <c r="J40">
        <f t="shared" si="4"/>
        <v>2.0730657115891993E-2</v>
      </c>
      <c r="K40">
        <f t="shared" si="5"/>
        <v>-6.5262825581494571E-2</v>
      </c>
      <c r="L40">
        <f t="shared" si="6"/>
        <v>8.0986053818987731E-3</v>
      </c>
    </row>
    <row r="41" spans="1:12" x14ac:dyDescent="0.35">
      <c r="A41" s="1">
        <v>45017</v>
      </c>
      <c r="B41" s="2">
        <v>1416102.7387327044</v>
      </c>
      <c r="C41" s="3">
        <f>VLOOKUP(A41,[1]VIX_MDA!A41:B119,2,0)</f>
        <v>11.911617647058824</v>
      </c>
      <c r="D41">
        <f>VLOOKUP(A41,[1]FO_MDA!A40:B119,2,0)</f>
        <v>24198312.427688405</v>
      </c>
      <c r="E41" s="2">
        <f>VLOOKUP(A41,[1]CM_MDA!A41:B119,2,0)</f>
        <v>56645.736256680408</v>
      </c>
      <c r="F41">
        <f t="shared" si="0"/>
        <v>3.3565485667014013E-2</v>
      </c>
      <c r="G41">
        <f t="shared" si="1"/>
        <v>-0.18655923719315062</v>
      </c>
      <c r="H41">
        <f t="shared" si="2"/>
        <v>3.846509130816398E-2</v>
      </c>
      <c r="I41">
        <f t="shared" si="3"/>
        <v>3.4804348982090234E-2</v>
      </c>
      <c r="J41">
        <f t="shared" si="4"/>
        <v>0</v>
      </c>
      <c r="K41">
        <f t="shared" si="5"/>
        <v>2.0730657115891993E-2</v>
      </c>
      <c r="L41">
        <f t="shared" si="6"/>
        <v>4.1237541683180827E-2</v>
      </c>
    </row>
    <row r="42" spans="1:12" x14ac:dyDescent="0.35">
      <c r="A42" s="1">
        <v>45047</v>
      </c>
      <c r="B42" s="2">
        <v>1562381.9496977769</v>
      </c>
      <c r="C42" s="3">
        <f>VLOOKUP(A42,[1]VIX_MDA!A42:B120,2,0)</f>
        <v>12.540113636363635</v>
      </c>
      <c r="D42">
        <f>VLOOKUP(A42,[1]FO_MDA!A41:B120,2,0)</f>
        <v>25144316.31746316</v>
      </c>
      <c r="E42" s="2">
        <f>VLOOKUP(A42,[1]CM_MDA!A42:B120,2,0)</f>
        <v>66261.087822888963</v>
      </c>
      <c r="F42">
        <f t="shared" si="0"/>
        <v>9.8302999339095989E-2</v>
      </c>
      <c r="G42">
        <f t="shared" si="1"/>
        <v>5.1418400339534542E-2</v>
      </c>
      <c r="H42">
        <f t="shared" si="2"/>
        <v>0.15678609425135534</v>
      </c>
      <c r="I42">
        <f t="shared" si="3"/>
        <v>2.643851893476646E-3</v>
      </c>
      <c r="J42">
        <f t="shared" si="4"/>
        <v>5.1418400339534542E-2</v>
      </c>
      <c r="K42">
        <f t="shared" si="5"/>
        <v>-0.18655923719315062</v>
      </c>
      <c r="L42">
        <f t="shared" si="6"/>
        <v>3.3565485667014013E-2</v>
      </c>
    </row>
    <row r="43" spans="1:12" x14ac:dyDescent="0.35">
      <c r="A43" s="1">
        <v>45078</v>
      </c>
      <c r="B43" s="2">
        <v>1666038.5811597346</v>
      </c>
      <c r="C43" s="3">
        <f>VLOOKUP(A43,[1]VIX_MDA!A43:B121,2,0)</f>
        <v>11.180476190476192</v>
      </c>
      <c r="D43">
        <f>VLOOKUP(A43,[1]FO_MDA!A42:B121,2,0)</f>
        <v>25821331.049052782</v>
      </c>
      <c r="E43" s="2">
        <f>VLOOKUP(A43,[1]CM_MDA!A43:B121,2,0)</f>
        <v>70178.798810089414</v>
      </c>
      <c r="F43">
        <f t="shared" si="0"/>
        <v>6.4237153854747833E-2</v>
      </c>
      <c r="G43">
        <f t="shared" si="1"/>
        <v>-0.11476353718894826</v>
      </c>
      <c r="H43">
        <f t="shared" si="2"/>
        <v>5.7443439937887357E-2</v>
      </c>
      <c r="I43">
        <f t="shared" si="3"/>
        <v>1.3170669468119111E-2</v>
      </c>
      <c r="J43">
        <f t="shared" si="4"/>
        <v>0</v>
      </c>
      <c r="K43">
        <f t="shared" si="5"/>
        <v>5.1418400339534542E-2</v>
      </c>
      <c r="L43">
        <f t="shared" si="6"/>
        <v>9.8302999339095989E-2</v>
      </c>
    </row>
    <row r="44" spans="1:12" x14ac:dyDescent="0.35">
      <c r="A44" s="1">
        <v>45108</v>
      </c>
      <c r="B44" s="2">
        <v>1772706.7149060031</v>
      </c>
      <c r="C44" s="3">
        <f>VLOOKUP(A44,[1]VIX_MDA!A44:B122,2,0)</f>
        <v>11.182500000000001</v>
      </c>
      <c r="D44">
        <f>VLOOKUP(A44,[1]FO_MDA!A43:B122,2,0)</f>
        <v>30628058.561650679</v>
      </c>
      <c r="E44" s="2">
        <f>VLOOKUP(A44,[1]CM_MDA!A44:B122,2,0)</f>
        <v>80565.352852820419</v>
      </c>
      <c r="F44">
        <f t="shared" si="0"/>
        <v>6.2058894548863597E-2</v>
      </c>
      <c r="G44">
        <f t="shared" si="1"/>
        <v>1.8099643912308842E-4</v>
      </c>
      <c r="H44">
        <f t="shared" si="2"/>
        <v>0.13802243757946939</v>
      </c>
      <c r="I44">
        <f t="shared" si="3"/>
        <v>3.2759710975237853E-8</v>
      </c>
      <c r="J44">
        <f t="shared" si="4"/>
        <v>1.8099643912308842E-4</v>
      </c>
      <c r="K44">
        <f t="shared" si="5"/>
        <v>-0.11476353718894826</v>
      </c>
      <c r="L44">
        <f t="shared" si="6"/>
        <v>6.4237153854747833E-2</v>
      </c>
    </row>
    <row r="45" spans="1:12" x14ac:dyDescent="0.35">
      <c r="A45" s="1">
        <v>45139</v>
      </c>
      <c r="B45" s="2">
        <v>1803435.3253798669</v>
      </c>
      <c r="C45" s="3">
        <f>VLOOKUP(A45,[1]VIX_MDA!A45:B123,2,0)</f>
        <v>11.63693181818182</v>
      </c>
      <c r="D45">
        <f>VLOOKUP(A45,[1]FO_MDA!A44:B123,2,0)</f>
        <v>31266290.110527609</v>
      </c>
      <c r="E45" s="2">
        <f>VLOOKUP(A45,[1]CM_MDA!A45:B123,2,0)</f>
        <v>87057.534608665432</v>
      </c>
      <c r="F45">
        <f t="shared" si="0"/>
        <v>1.7185764118508015E-2</v>
      </c>
      <c r="G45">
        <f t="shared" si="1"/>
        <v>3.9833761729326414E-2</v>
      </c>
      <c r="H45">
        <f t="shared" si="2"/>
        <v>7.7500525677247495E-2</v>
      </c>
      <c r="I45">
        <f t="shared" si="3"/>
        <v>1.5867285735087497E-3</v>
      </c>
      <c r="J45">
        <f t="shared" si="4"/>
        <v>3.9833761729326414E-2</v>
      </c>
      <c r="K45">
        <f t="shared" si="5"/>
        <v>1.8099643912308842E-4</v>
      </c>
      <c r="L45">
        <f t="shared" si="6"/>
        <v>6.2058894548863597E-2</v>
      </c>
    </row>
    <row r="46" spans="1:12" x14ac:dyDescent="0.35">
      <c r="A46" s="1">
        <v>45170</v>
      </c>
      <c r="B46" s="2">
        <v>1872309.326720899</v>
      </c>
      <c r="C46" s="3">
        <f>VLOOKUP(A46,[1]VIX_MDA!A46:B124,2,0)</f>
        <v>11.197125</v>
      </c>
      <c r="D46">
        <f>VLOOKUP(A46,[1]FO_MDA!A45:B124,2,0)</f>
        <v>35680434.778807446</v>
      </c>
      <c r="E46" s="2">
        <f>VLOOKUP(A46,[1]CM_MDA!A46:B124,2,0)</f>
        <v>93248.859006593659</v>
      </c>
      <c r="F46">
        <f t="shared" si="0"/>
        <v>3.7479242935054363E-2</v>
      </c>
      <c r="G46">
        <f t="shared" si="1"/>
        <v>-3.8526769133882734E-2</v>
      </c>
      <c r="H46">
        <f t="shared" si="2"/>
        <v>6.8702605173230666E-2</v>
      </c>
      <c r="I46">
        <f t="shared" si="3"/>
        <v>1.4843119398954994E-3</v>
      </c>
      <c r="J46">
        <f t="shared" si="4"/>
        <v>0</v>
      </c>
      <c r="K46">
        <f t="shared" si="5"/>
        <v>3.9833761729326414E-2</v>
      </c>
      <c r="L46">
        <f t="shared" si="6"/>
        <v>1.7185764118508015E-2</v>
      </c>
    </row>
    <row r="47" spans="1:12" x14ac:dyDescent="0.35">
      <c r="A47" s="1">
        <v>45200</v>
      </c>
      <c r="B47" s="2">
        <v>1848306.4745340268</v>
      </c>
      <c r="C47" s="3">
        <f>VLOOKUP(A47,[1]VIX_MDA!A47:B125,2,0)</f>
        <v>11.109249999999999</v>
      </c>
      <c r="D47">
        <f>VLOOKUP(A47,[1]FO_MDA!A46:B125,2,0)</f>
        <v>35010046.544269256</v>
      </c>
      <c r="E47" s="2">
        <f>VLOOKUP(A47,[1]CM_MDA!A47:B125,2,0)</f>
        <v>74114.320660434634</v>
      </c>
      <c r="F47">
        <f t="shared" si="0"/>
        <v>-1.2902802370532323E-2</v>
      </c>
      <c r="G47">
        <f t="shared" si="1"/>
        <v>-7.8789542981296395E-3</v>
      </c>
      <c r="H47">
        <f t="shared" si="2"/>
        <v>-0.2296630476909344</v>
      </c>
      <c r="I47">
        <f t="shared" si="3"/>
        <v>6.2077920832015519E-5</v>
      </c>
      <c r="J47">
        <f t="shared" si="4"/>
        <v>0</v>
      </c>
      <c r="K47">
        <f t="shared" si="5"/>
        <v>-3.8526769133882734E-2</v>
      </c>
      <c r="L47">
        <f t="shared" si="6"/>
        <v>3.7479242935054363E-2</v>
      </c>
    </row>
    <row r="48" spans="1:12" x14ac:dyDescent="0.35">
      <c r="A48" s="1">
        <v>45231</v>
      </c>
      <c r="B48" s="2">
        <v>1918289.2443934307</v>
      </c>
      <c r="C48" s="3">
        <f>VLOOKUP(A48,[1]VIX_MDA!A48:B126,2,0)</f>
        <v>11.573214285714286</v>
      </c>
      <c r="D48">
        <f>VLOOKUP(A48,[1]FO_MDA!A47:B126,2,0)</f>
        <v>36173949.480507493</v>
      </c>
      <c r="E48" s="2">
        <f>VLOOKUP(A48,[1]CM_MDA!A48:B126,2,0)</f>
        <v>82245.336113450394</v>
      </c>
      <c r="F48">
        <f t="shared" si="0"/>
        <v>3.71639696341955E-2</v>
      </c>
      <c r="G48">
        <f t="shared" si="1"/>
        <v>4.0915220076340943E-2</v>
      </c>
      <c r="H48">
        <f t="shared" si="2"/>
        <v>0.10409790934601509</v>
      </c>
      <c r="I48">
        <f t="shared" si="3"/>
        <v>1.6740552338954128E-3</v>
      </c>
      <c r="J48">
        <f t="shared" si="4"/>
        <v>4.0915220076340943E-2</v>
      </c>
      <c r="K48">
        <f t="shared" si="5"/>
        <v>-7.8789542981296395E-3</v>
      </c>
      <c r="L48">
        <f t="shared" si="6"/>
        <v>-1.2902802370532323E-2</v>
      </c>
    </row>
    <row r="49" spans="1:12" x14ac:dyDescent="0.35">
      <c r="A49" s="1">
        <v>45261</v>
      </c>
      <c r="B49" s="2">
        <v>2102335.7054934455</v>
      </c>
      <c r="C49" s="3">
        <f>VLOOKUP(A49,[1]VIX_MDA!A49:B127,2,0)</f>
        <v>13.512874999999999</v>
      </c>
      <c r="D49">
        <f>VLOOKUP(A49,[1]FO_MDA!A48:B127,2,0)</f>
        <v>44922456.588374816</v>
      </c>
      <c r="E49" s="2">
        <f>VLOOKUP(A49,[1]CM_MDA!A49:B127,2,0)</f>
        <v>119557.19901648766</v>
      </c>
      <c r="F49">
        <f t="shared" si="0"/>
        <v>9.1615197057480086E-2</v>
      </c>
      <c r="G49">
        <f t="shared" si="1"/>
        <v>0.15494961996312967</v>
      </c>
      <c r="H49">
        <f t="shared" si="2"/>
        <v>0.37408822546154147</v>
      </c>
      <c r="I49">
        <f t="shared" si="3"/>
        <v>2.4009384726718312E-2</v>
      </c>
      <c r="J49">
        <f t="shared" si="4"/>
        <v>0.15494961996312967</v>
      </c>
      <c r="K49">
        <f t="shared" si="5"/>
        <v>4.0915220076340943E-2</v>
      </c>
      <c r="L49">
        <f t="shared" si="6"/>
        <v>3.71639696341955E-2</v>
      </c>
    </row>
    <row r="50" spans="1:12" x14ac:dyDescent="0.35">
      <c r="A50" s="1">
        <v>45292</v>
      </c>
      <c r="B50" s="2">
        <v>2115776.1185060339</v>
      </c>
      <c r="C50" s="3">
        <f>VLOOKUP(A50,[1]VIX_MDA!A50:B128,2,0)</f>
        <v>14.090454545454547</v>
      </c>
      <c r="D50">
        <f>VLOOKUP(A50,[1]FO_MDA!A49:B128,2,0)</f>
        <v>45830060.746099681</v>
      </c>
      <c r="E50" s="2">
        <f>VLOOKUP(A50,[1]CM_MDA!A50:B128,2,0)</f>
        <v>129043.99691230503</v>
      </c>
      <c r="F50">
        <f t="shared" si="0"/>
        <v>6.372736930620548E-3</v>
      </c>
      <c r="G50">
        <f t="shared" si="1"/>
        <v>4.1854650874406686E-2</v>
      </c>
      <c r="H50">
        <f t="shared" si="2"/>
        <v>7.6358497837708705E-2</v>
      </c>
      <c r="I50">
        <f t="shared" si="3"/>
        <v>1.7518117998184723E-3</v>
      </c>
      <c r="J50">
        <f t="shared" si="4"/>
        <v>4.1854650874406686E-2</v>
      </c>
      <c r="K50">
        <f t="shared" si="5"/>
        <v>0.15494961996312967</v>
      </c>
      <c r="L50">
        <f t="shared" si="6"/>
        <v>9.1615197057480086E-2</v>
      </c>
    </row>
    <row r="51" spans="1:12" x14ac:dyDescent="0.35">
      <c r="A51" s="1">
        <v>45323</v>
      </c>
      <c r="B51" s="2">
        <v>2170801.4392299508</v>
      </c>
      <c r="C51" s="3">
        <f>VLOOKUP(A51,[1]VIX_MDA!A51:B129,2,0)</f>
        <v>15.547857142857143</v>
      </c>
      <c r="D51">
        <f>VLOOKUP(A51,[1]FO_MDA!A50:B129,2,0)</f>
        <v>48209015.194203272</v>
      </c>
      <c r="E51" s="2">
        <f>VLOOKUP(A51,[1]CM_MDA!A51:B129,2,0)</f>
        <v>134351.41768431486</v>
      </c>
      <c r="F51">
        <f t="shared" si="0"/>
        <v>2.5674721912355689E-2</v>
      </c>
      <c r="G51">
        <f t="shared" si="1"/>
        <v>9.8425239275429621E-2</v>
      </c>
      <c r="H51">
        <f t="shared" si="2"/>
        <v>4.0305479628702359E-2</v>
      </c>
      <c r="I51">
        <f t="shared" si="3"/>
        <v>9.6875277264255738E-3</v>
      </c>
      <c r="J51">
        <f t="shared" si="4"/>
        <v>9.8425239275429621E-2</v>
      </c>
      <c r="K51">
        <f t="shared" si="5"/>
        <v>4.1854650874406686E-2</v>
      </c>
      <c r="L51">
        <f t="shared" si="6"/>
        <v>6.372736930620548E-3</v>
      </c>
    </row>
    <row r="52" spans="1:12" x14ac:dyDescent="0.35">
      <c r="A52" s="1">
        <v>45352</v>
      </c>
      <c r="B52" s="2">
        <v>2138084.9010960306</v>
      </c>
      <c r="C52" s="3">
        <f>VLOOKUP(A52,[1]VIX_MDA!A52:B130,2,0)</f>
        <v>13.756842105263157</v>
      </c>
      <c r="D52">
        <f>VLOOKUP(A52,[1]FO_MDA!A51:B130,2,0)</f>
        <v>48237727.605657011</v>
      </c>
      <c r="E52" s="2">
        <f>VLOOKUP(A52,[1]CM_MDA!A52:B130,2,0)</f>
        <v>116014.91521431155</v>
      </c>
      <c r="F52">
        <f t="shared" si="0"/>
        <v>-1.5185903865670288E-2</v>
      </c>
      <c r="G52">
        <f t="shared" si="1"/>
        <v>-0.12238651680903785</v>
      </c>
      <c r="H52">
        <f t="shared" si="2"/>
        <v>-0.14674012490341798</v>
      </c>
      <c r="I52">
        <f t="shared" si="3"/>
        <v>1.4978459496648904E-2</v>
      </c>
      <c r="J52">
        <f t="shared" si="4"/>
        <v>0</v>
      </c>
      <c r="K52">
        <f t="shared" si="5"/>
        <v>9.8425239275429621E-2</v>
      </c>
      <c r="L52">
        <f t="shared" si="6"/>
        <v>2.5674721912355689E-2</v>
      </c>
    </row>
    <row r="53" spans="1:12" x14ac:dyDescent="0.35">
      <c r="A53" s="1">
        <v>45383</v>
      </c>
      <c r="B53" s="2">
        <v>2165312.1593873859</v>
      </c>
      <c r="C53" s="3">
        <f>VLOOKUP(A53,[1]VIX_MDA!A53:B131,2,0)</f>
        <v>11.739000000000001</v>
      </c>
      <c r="D53">
        <f>VLOOKUP(A53,[1]FO_MDA!A52:B131,2,0)</f>
        <v>44450163.617939934</v>
      </c>
      <c r="E53" s="2">
        <f>VLOOKUP(A53,[1]CM_MDA!A53:B131,2,0)</f>
        <v>118428.58009321697</v>
      </c>
      <c r="F53">
        <f t="shared" si="0"/>
        <v>1.2654013199004983E-2</v>
      </c>
      <c r="G53">
        <f t="shared" si="1"/>
        <v>-0.15861967610606417</v>
      </c>
      <c r="H53">
        <f t="shared" si="2"/>
        <v>2.0591316968993537E-2</v>
      </c>
      <c r="I53">
        <f t="shared" si="3"/>
        <v>2.5160201647992705E-2</v>
      </c>
      <c r="J53">
        <f t="shared" si="4"/>
        <v>0</v>
      </c>
      <c r="K53">
        <f t="shared" si="5"/>
        <v>-0.12238651680903785</v>
      </c>
      <c r="L53">
        <f t="shared" si="6"/>
        <v>-1.5185903865670288E-2</v>
      </c>
    </row>
    <row r="54" spans="1:12" x14ac:dyDescent="0.35">
      <c r="A54" s="1">
        <v>45413</v>
      </c>
      <c r="B54" s="2">
        <v>2248493.4247836582</v>
      </c>
      <c r="C54" s="3">
        <f>VLOOKUP(A54,[1]VIX_MDA!A54:B132,2,0)</f>
        <v>20.159772727272728</v>
      </c>
      <c r="D54">
        <f>VLOOKUP(A54,[1]FO_MDA!A53:B132,2,0)</f>
        <v>45006580.455530711</v>
      </c>
      <c r="E54" s="2">
        <f>VLOOKUP(A54,[1]CM_MDA!A54:B132,2,0)</f>
        <v>129647.37922664364</v>
      </c>
      <c r="F54">
        <f t="shared" si="0"/>
        <v>3.7695867421049377E-2</v>
      </c>
      <c r="G54">
        <f t="shared" si="1"/>
        <v>0.54077253779446355</v>
      </c>
      <c r="H54">
        <f t="shared" si="2"/>
        <v>9.0508218318968298E-2</v>
      </c>
      <c r="I54">
        <f t="shared" si="3"/>
        <v>0.29243493763266448</v>
      </c>
      <c r="J54">
        <f t="shared" si="4"/>
        <v>0.54077253779446355</v>
      </c>
      <c r="K54">
        <f t="shared" si="5"/>
        <v>-0.15861967610606417</v>
      </c>
      <c r="L54">
        <f t="shared" si="6"/>
        <v>1.2654013199004983E-2</v>
      </c>
    </row>
    <row r="55" spans="1:12" x14ac:dyDescent="0.35">
      <c r="A55" s="1">
        <v>45444</v>
      </c>
      <c r="B55" s="2">
        <v>2356652.8165251957</v>
      </c>
      <c r="C55" s="3">
        <f>VLOOKUP(A55,[1]VIX_MDA!A55:B133,2,0)</f>
        <v>15.562368421052632</v>
      </c>
      <c r="D55">
        <f>VLOOKUP(A55,[1]FO_MDA!A54:B133,2,0)</f>
        <v>49681649.52909065</v>
      </c>
      <c r="E55" s="2">
        <f>VLOOKUP(A55,[1]CM_MDA!A55:B133,2,0)</f>
        <v>172986.73988465717</v>
      </c>
      <c r="F55">
        <f t="shared" si="0"/>
        <v>4.6981911261771377E-2</v>
      </c>
      <c r="G55">
        <f t="shared" si="1"/>
        <v>-0.25883345037378491</v>
      </c>
      <c r="H55">
        <f t="shared" si="2"/>
        <v>0.28839664593218045</v>
      </c>
      <c r="I55">
        <f t="shared" si="3"/>
        <v>6.6994755032398573E-2</v>
      </c>
      <c r="J55">
        <f t="shared" si="4"/>
        <v>0</v>
      </c>
      <c r="K55">
        <f t="shared" si="5"/>
        <v>0.54077253779446355</v>
      </c>
      <c r="L55">
        <f t="shared" si="6"/>
        <v>3.7695867421049377E-2</v>
      </c>
    </row>
    <row r="56" spans="1:12" x14ac:dyDescent="0.35">
      <c r="A56" s="1">
        <v>45474</v>
      </c>
      <c r="B56" s="2">
        <v>2448703.0977610368</v>
      </c>
      <c r="C56" s="3">
        <f>VLOOKUP(A56,[1]VIX_MDA!A56:B134,2,0)</f>
        <v>13.540454545454542</v>
      </c>
      <c r="D56">
        <f>VLOOKUP(A56,[1]FO_MDA!A55:B134,2,0)</f>
        <v>49539753.185478635</v>
      </c>
      <c r="E56" s="2">
        <f>VLOOKUP(A56,[1]CM_MDA!A56:B134,2,0)</f>
        <v>156905.68942091917</v>
      </c>
      <c r="F56">
        <f t="shared" si="0"/>
        <v>3.8316222331726005E-2</v>
      </c>
      <c r="G56">
        <f t="shared" si="1"/>
        <v>-0.13917388183108556</v>
      </c>
      <c r="H56">
        <f t="shared" si="2"/>
        <v>-9.7570022966777678E-2</v>
      </c>
      <c r="I56">
        <f t="shared" si="3"/>
        <v>1.9369369383932966E-2</v>
      </c>
      <c r="J56">
        <f t="shared" si="4"/>
        <v>0</v>
      </c>
      <c r="K56">
        <f t="shared" si="5"/>
        <v>-0.25883345037378491</v>
      </c>
      <c r="L56">
        <f t="shared" si="6"/>
        <v>4.6981911261771377E-2</v>
      </c>
    </row>
    <row r="57" spans="1:12" x14ac:dyDescent="0.35">
      <c r="A57" s="1">
        <v>45505</v>
      </c>
      <c r="B57" s="2">
        <v>2536645.2772647869</v>
      </c>
      <c r="C57" s="3">
        <f>VLOOKUP(A57,[1]VIX_MDA!A57:B135,2,0)</f>
        <v>14.900833333333335</v>
      </c>
      <c r="D57">
        <f>VLOOKUP(A57,[1]FO_MDA!A56:B135,2,0)</f>
        <v>50005275.574063852</v>
      </c>
      <c r="E57" s="2">
        <f>VLOOKUP(A57,[1]CM_MDA!A57:B135,2,0)</f>
        <v>141670.4585747722</v>
      </c>
      <c r="F57">
        <f t="shared" si="0"/>
        <v>3.5283914529876621E-2</v>
      </c>
      <c r="G57">
        <f t="shared" si="1"/>
        <v>9.5735302313133236E-2</v>
      </c>
      <c r="H57">
        <f t="shared" si="2"/>
        <v>-0.10214127421957293</v>
      </c>
      <c r="I57">
        <f t="shared" si="3"/>
        <v>9.1652481089870147E-3</v>
      </c>
      <c r="J57">
        <f t="shared" si="4"/>
        <v>9.5735302313133236E-2</v>
      </c>
      <c r="K57">
        <f t="shared" si="5"/>
        <v>-0.13917388183108556</v>
      </c>
      <c r="L57">
        <f t="shared" si="6"/>
        <v>3.8316222331726005E-2</v>
      </c>
    </row>
    <row r="58" spans="1:12" x14ac:dyDescent="0.35">
      <c r="A58" s="1">
        <v>45536</v>
      </c>
      <c r="B58" s="2">
        <v>2765841.1152776815</v>
      </c>
      <c r="C58" s="3">
        <f>VLOOKUP(A58,[1]VIX_MDA!A58:B136,2,0)</f>
        <v>13.286547619047621</v>
      </c>
      <c r="D58">
        <f>VLOOKUP(A58,[1]FO_MDA!A57:B136,2,0)</f>
        <v>53700455.66813837</v>
      </c>
      <c r="E58" s="2">
        <f>VLOOKUP(A58,[1]CM_MDA!A58:B136,2,0)</f>
        <v>135382.62796746386</v>
      </c>
      <c r="F58">
        <f t="shared" si="0"/>
        <v>8.6502338458525965E-2</v>
      </c>
      <c r="G58">
        <f t="shared" si="1"/>
        <v>-0.11466507365390045</v>
      </c>
      <c r="H58">
        <f t="shared" si="2"/>
        <v>-4.5398595631116492E-2</v>
      </c>
      <c r="I58">
        <f t="shared" si="3"/>
        <v>1.3148079116054416E-2</v>
      </c>
      <c r="J58">
        <f t="shared" si="4"/>
        <v>0</v>
      </c>
      <c r="K58">
        <f t="shared" si="5"/>
        <v>9.5735302313133236E-2</v>
      </c>
      <c r="L58">
        <f t="shared" si="6"/>
        <v>3.5283914529876621E-2</v>
      </c>
    </row>
    <row r="59" spans="1:12" x14ac:dyDescent="0.35">
      <c r="A59" s="1">
        <v>45566</v>
      </c>
      <c r="B59" s="2">
        <v>2733867.7957605976</v>
      </c>
      <c r="C59" s="3">
        <f>VLOOKUP(A59,[1]VIX_MDA!A59:B137,2,0)</f>
        <v>13.932386363636363</v>
      </c>
      <c r="D59">
        <f>VLOOKUP(A59,[1]FO_MDA!A58:B137,2,0)</f>
        <v>51566247.834678389</v>
      </c>
      <c r="E59" s="2">
        <f>VLOOKUP(A59,[1]CM_MDA!A59:B137,2,0)</f>
        <v>118318.97091876673</v>
      </c>
      <c r="F59">
        <f t="shared" si="0"/>
        <v>-1.1627408016383825E-2</v>
      </c>
      <c r="G59">
        <f t="shared" si="1"/>
        <v>4.7464018075391676E-2</v>
      </c>
      <c r="H59">
        <f t="shared" si="2"/>
        <v>-0.13472092975353153</v>
      </c>
      <c r="I59">
        <f t="shared" si="3"/>
        <v>2.2528330118611077E-3</v>
      </c>
      <c r="J59">
        <f t="shared" si="4"/>
        <v>4.7464018075391676E-2</v>
      </c>
      <c r="K59">
        <f t="shared" si="5"/>
        <v>-0.11466507365390045</v>
      </c>
      <c r="L59">
        <f t="shared" si="6"/>
        <v>8.6502338458525965E-2</v>
      </c>
    </row>
    <row r="60" spans="1:12" x14ac:dyDescent="0.35">
      <c r="A60" s="1">
        <v>45597</v>
      </c>
      <c r="B60" s="2">
        <v>2438167.6784767718</v>
      </c>
      <c r="C60" s="3">
        <f>VLOOKUP(A60,[1]VIX_MDA!A60:B138,2,0)</f>
        <v>15.254736842105265</v>
      </c>
      <c r="D60">
        <f>VLOOKUP(A60,[1]FO_MDA!A59:B138,2,0)</f>
        <v>46342908.195292301</v>
      </c>
      <c r="E60" s="2">
        <f>VLOOKUP(A60,[1]CM_MDA!A60:B138,2,0)</f>
        <v>115737.8899996265</v>
      </c>
      <c r="F60">
        <f t="shared" si="0"/>
        <v>-0.11447057576609106</v>
      </c>
      <c r="G60">
        <f t="shared" si="1"/>
        <v>9.0673983199778777E-2</v>
      </c>
      <c r="H60">
        <f t="shared" si="2"/>
        <v>-2.2056055463989414E-2</v>
      </c>
      <c r="I60">
        <f t="shared" si="3"/>
        <v>8.2217712293137634E-3</v>
      </c>
      <c r="J60">
        <f t="shared" si="4"/>
        <v>9.0673983199778777E-2</v>
      </c>
      <c r="K60">
        <f t="shared" si="5"/>
        <v>4.7464018075391676E-2</v>
      </c>
      <c r="L60">
        <f t="shared" si="6"/>
        <v>-1.1627408016383825E-2</v>
      </c>
    </row>
    <row r="61" spans="1:12" x14ac:dyDescent="0.35">
      <c r="A61" s="1">
        <v>45627</v>
      </c>
      <c r="B61" s="2">
        <v>2486473.8460738845</v>
      </c>
      <c r="C61" s="3">
        <f>VLOOKUP(A61,[1]VIX_MDA!A61:B139,2,0)</f>
        <v>14.020714285714288</v>
      </c>
      <c r="D61">
        <f>VLOOKUP(A61,[1]FO_MDA!A60:B139,2,0)</f>
        <v>29443405.969990078</v>
      </c>
      <c r="E61" s="2">
        <f>VLOOKUP(A61,[1]CM_MDA!A61:B139,2,0)</f>
        <v>114638.54966888631</v>
      </c>
      <c r="F61">
        <f t="shared" si="0"/>
        <v>1.9618774991806896E-2</v>
      </c>
      <c r="G61">
        <f t="shared" si="1"/>
        <v>-8.4354239485882845E-2</v>
      </c>
      <c r="H61">
        <f t="shared" si="2"/>
        <v>-9.5439331983139166E-3</v>
      </c>
      <c r="I61">
        <f t="shared" si="3"/>
        <v>7.1156377192416768E-3</v>
      </c>
      <c r="J61">
        <f t="shared" si="4"/>
        <v>0</v>
      </c>
      <c r="K61">
        <f t="shared" si="5"/>
        <v>9.0673983199778777E-2</v>
      </c>
      <c r="L61">
        <f t="shared" si="6"/>
        <v>-0.11447057576609106</v>
      </c>
    </row>
    <row r="62" spans="1:12" x14ac:dyDescent="0.35">
      <c r="A62" s="1">
        <v>45658</v>
      </c>
      <c r="B62" s="2">
        <v>2217218.8199358899</v>
      </c>
      <c r="C62" s="3">
        <f>VLOOKUP(A62,[1]VIX_MDA!A62:B140,2,0)</f>
        <v>15.928586956521738</v>
      </c>
      <c r="D62">
        <f>VLOOKUP(A62,[1]FO_MDA!A61:B140,2,0)</f>
        <v>29661090.98564643</v>
      </c>
      <c r="E62" s="2">
        <f>VLOOKUP(A62,[1]CM_MDA!A62:B140,2,0)</f>
        <v>105916.30740509875</v>
      </c>
      <c r="F62">
        <f t="shared" si="0"/>
        <v>-0.11461195406582776</v>
      </c>
      <c r="G62">
        <f t="shared" si="1"/>
        <v>0.12757958875878467</v>
      </c>
      <c r="H62">
        <f t="shared" si="2"/>
        <v>-7.9134902792280998E-2</v>
      </c>
      <c r="I62">
        <f t="shared" si="3"/>
        <v>1.6276551467860615E-2</v>
      </c>
      <c r="J62">
        <f t="shared" si="4"/>
        <v>0.12757958875878467</v>
      </c>
      <c r="K62">
        <f t="shared" si="5"/>
        <v>-8.4354239485882845E-2</v>
      </c>
      <c r="L62">
        <f t="shared" si="6"/>
        <v>1.9618774991806896E-2</v>
      </c>
    </row>
    <row r="63" spans="1:12" x14ac:dyDescent="0.35">
      <c r="A63" s="1">
        <v>45689</v>
      </c>
      <c r="B63" s="2">
        <v>2122201.1964594326</v>
      </c>
      <c r="C63" s="3">
        <f>VLOOKUP(A63,[1]VIX_MDA!A63:B141,2,0)</f>
        <v>14.499375000000004</v>
      </c>
      <c r="D63">
        <f>VLOOKUP(A63,[1]FO_MDA!A62:B141,2,0)</f>
        <v>28606553.803606551</v>
      </c>
      <c r="E63" s="2">
        <f>VLOOKUP(A63,[1]CM_MDA!A63:B141,2,0)</f>
        <v>99922.828401432693</v>
      </c>
      <c r="F63">
        <f t="shared" si="0"/>
        <v>-4.3799776442074306E-2</v>
      </c>
      <c r="G63">
        <f t="shared" si="1"/>
        <v>-9.4009871644010479E-2</v>
      </c>
      <c r="H63">
        <f t="shared" si="2"/>
        <v>-5.8251057392666485E-2</v>
      </c>
      <c r="I63">
        <f t="shared" si="3"/>
        <v>8.8378559665233253E-3</v>
      </c>
      <c r="J63">
        <f t="shared" si="4"/>
        <v>0</v>
      </c>
      <c r="K63">
        <f t="shared" si="5"/>
        <v>0.12757958875878467</v>
      </c>
      <c r="L63">
        <f t="shared" si="6"/>
        <v>-0.11461195406582776</v>
      </c>
    </row>
    <row r="64" spans="1:12" x14ac:dyDescent="0.35">
      <c r="A64" s="1">
        <v>45717</v>
      </c>
      <c r="B64" s="2">
        <v>2231725.2157410216</v>
      </c>
      <c r="C64" s="3">
        <f>VLOOKUP(A64,[1]VIX_MDA!A64:B142,2,0)</f>
        <v>13.443684210526316</v>
      </c>
      <c r="D64">
        <f>VLOOKUP(A64,[1]FO_MDA!A63:B142,2,0)</f>
        <v>35163822.061157756</v>
      </c>
      <c r="E64" s="2">
        <f>VLOOKUP(A64,[1]CM_MDA!A64:B142,2,0)</f>
        <v>107611.92790112307</v>
      </c>
      <c r="F64">
        <f t="shared" si="0"/>
        <v>5.0321075473321035E-2</v>
      </c>
      <c r="G64">
        <f t="shared" si="1"/>
        <v>-7.5596124712043744E-2</v>
      </c>
      <c r="H64">
        <f t="shared" si="2"/>
        <v>7.4133323607128113E-2</v>
      </c>
      <c r="I64">
        <f t="shared" si="3"/>
        <v>5.7147740714788712E-3</v>
      </c>
      <c r="J64">
        <f t="shared" si="4"/>
        <v>0</v>
      </c>
      <c r="K64">
        <f t="shared" si="5"/>
        <v>-9.4009871644010479E-2</v>
      </c>
      <c r="L64">
        <f t="shared" si="6"/>
        <v>-4.3799776442074306E-2</v>
      </c>
    </row>
    <row r="65" spans="1:12" x14ac:dyDescent="0.35">
      <c r="A65" s="1">
        <v>45748</v>
      </c>
      <c r="B65" s="2">
        <v>2116538.082295625</v>
      </c>
      <c r="C65" s="3">
        <f>VLOOKUP(A65,[1]VIX_MDA!A65:B143,2,0)</f>
        <v>16.828947368421051</v>
      </c>
      <c r="D65">
        <f>VLOOKUP(A65,[1]FO_MDA!A64:B143,2,0)</f>
        <v>36768324.197845317</v>
      </c>
      <c r="E65" s="2">
        <f>VLOOKUP(A65,[1]CM_MDA!A65:B143,2,0)</f>
        <v>111644.51463668048</v>
      </c>
      <c r="F65">
        <f t="shared" si="0"/>
        <v>-5.2993151843641978E-2</v>
      </c>
      <c r="G65">
        <f t="shared" si="1"/>
        <v>0.22459104095528248</v>
      </c>
      <c r="H65">
        <f t="shared" si="2"/>
        <v>3.6788351406343241E-2</v>
      </c>
      <c r="I65">
        <f t="shared" si="3"/>
        <v>5.0441135677377374E-2</v>
      </c>
      <c r="J65">
        <f t="shared" si="4"/>
        <v>0.22459104095528248</v>
      </c>
      <c r="K65">
        <f t="shared" si="5"/>
        <v>-7.5596124712043744E-2</v>
      </c>
      <c r="L65">
        <f t="shared" si="6"/>
        <v>5.0321075473321035E-2</v>
      </c>
    </row>
    <row r="66" spans="1:12" x14ac:dyDescent="0.35">
      <c r="A66" s="1">
        <v>45778</v>
      </c>
      <c r="B66" s="2">
        <v>2289459.3494472979</v>
      </c>
      <c r="C66" s="3">
        <f>VLOOKUP(A66,[1]VIX_MDA!A66:B144,2,0)</f>
        <v>18.022857142857141</v>
      </c>
      <c r="D66">
        <f>VLOOKUP(A66,[1]FO_MDA!A65:B144,2,0)</f>
        <v>34145449.125285156</v>
      </c>
      <c r="E66" s="2">
        <f>VLOOKUP(A66,[1]CM_MDA!A66:B144,2,0)</f>
        <v>124711.95964578453</v>
      </c>
      <c r="F66">
        <f t="shared" si="0"/>
        <v>7.8533923878174067E-2</v>
      </c>
      <c r="G66">
        <f t="shared" si="1"/>
        <v>6.8540332306958107E-2</v>
      </c>
      <c r="H66">
        <f t="shared" si="2"/>
        <v>0.11068690834125465</v>
      </c>
      <c r="I66">
        <f t="shared" si="3"/>
        <v>4.6977771527482457E-3</v>
      </c>
      <c r="J66">
        <f t="shared" si="4"/>
        <v>6.8540332306958107E-2</v>
      </c>
      <c r="K66">
        <f t="shared" si="5"/>
        <v>0.22459104095528248</v>
      </c>
      <c r="L66">
        <f t="shared" si="6"/>
        <v>-5.2993151843641978E-2</v>
      </c>
    </row>
    <row r="67" spans="1:12" x14ac:dyDescent="0.35">
      <c r="A67" s="1">
        <v>45809</v>
      </c>
      <c r="B67" s="2">
        <v>2268537.784506951</v>
      </c>
      <c r="C67" s="3">
        <f>VLOOKUP(A67,[1]VIX_MDA!A67:B145,2,0)</f>
        <v>14.310952380952379</v>
      </c>
      <c r="D67">
        <f>VLOOKUP(A67,[1]FO_MDA!A66:B145,2,0)</f>
        <v>33407874.641389899</v>
      </c>
      <c r="E67" s="2">
        <f>VLOOKUP(A67,[1]CM_MDA!A67:B145,2,0)</f>
        <v>127477.67025679621</v>
      </c>
      <c r="F67">
        <f t="shared" si="0"/>
        <v>-9.1802216009547119E-3</v>
      </c>
      <c r="G67">
        <f t="shared" si="1"/>
        <v>-0.23061564872002477</v>
      </c>
      <c r="H67">
        <f t="shared" si="2"/>
        <v>2.1934458588622419E-2</v>
      </c>
      <c r="I67">
        <f t="shared" si="3"/>
        <v>5.3183577434557865E-2</v>
      </c>
      <c r="J67">
        <f t="shared" si="4"/>
        <v>0</v>
      </c>
      <c r="K67">
        <f t="shared" si="5"/>
        <v>6.8540332306958107E-2</v>
      </c>
      <c r="L67">
        <f t="shared" si="6"/>
        <v>7.8533923878174067E-2</v>
      </c>
    </row>
    <row r="68" spans="1:12" x14ac:dyDescent="0.35">
      <c r="A68" s="1">
        <v>45839</v>
      </c>
      <c r="B68" s="2">
        <v>2269017.6977930828</v>
      </c>
      <c r="C68" s="3">
        <f>VLOOKUP(A68,[1]VIX_MDA!A68:B146,2,0)</f>
        <v>11.653043478260871</v>
      </c>
      <c r="D68">
        <f>VLOOKUP(A68,[1]FO_MDA!A67:B146,2,0)</f>
        <v>36756154.005437844</v>
      </c>
      <c r="E68" s="2">
        <f>VLOOKUP(A68,[1]CM_MDA!A68:B146,2,0)</f>
        <v>107603.56281688037</v>
      </c>
      <c r="F68">
        <f t="shared" ref="F68:F80" si="7">LN(B68/B67)</f>
        <v>2.115294412568039E-4</v>
      </c>
      <c r="G68">
        <f t="shared" ref="G68:G80" si="8">LN(C68/C67)</f>
        <v>-0.20545775621651205</v>
      </c>
      <c r="H68">
        <f t="shared" ref="H68:H80" si="9">LN(E68/E67)</f>
        <v>-0.1694874551591509</v>
      </c>
      <c r="I68">
        <f t="shared" ref="I68:I80" si="10">G68^2</f>
        <v>4.2212889589523697E-2</v>
      </c>
      <c r="J68">
        <f t="shared" ref="J68:J80" si="11">IF(G68&gt;0,G68,0)</f>
        <v>0</v>
      </c>
      <c r="K68">
        <f t="shared" si="5"/>
        <v>-0.23061564872002477</v>
      </c>
      <c r="L68">
        <f t="shared" si="6"/>
        <v>-9.1802216009547119E-3</v>
      </c>
    </row>
    <row r="69" spans="1:12" x14ac:dyDescent="0.35">
      <c r="A69" s="1">
        <v>45870</v>
      </c>
      <c r="B69" s="2">
        <v>2180078.4976819544</v>
      </c>
      <c r="C69" s="3">
        <f>VLOOKUP(A69,[1]VIX_MDA!A69:B147,2,0)</f>
        <v>11.95736842105263</v>
      </c>
      <c r="D69">
        <f>VLOOKUP(A69,[1]FO_MDA!A68:B147,2,0)</f>
        <v>40030905.480467282</v>
      </c>
      <c r="E69" s="2">
        <f>VLOOKUP(A69,[1]CM_MDA!A69:B147,2,0)</f>
        <v>109927.56863424322</v>
      </c>
      <c r="F69">
        <f t="shared" si="7"/>
        <v>-3.9986121324239135E-2</v>
      </c>
      <c r="G69">
        <f t="shared" si="8"/>
        <v>2.5780303964467691E-2</v>
      </c>
      <c r="H69">
        <f t="shared" si="9"/>
        <v>2.1367923085859799E-2</v>
      </c>
      <c r="I69">
        <f t="shared" si="10"/>
        <v>6.6462407250034855E-4</v>
      </c>
      <c r="J69">
        <f t="shared" si="11"/>
        <v>2.5780303964467691E-2</v>
      </c>
      <c r="K69">
        <f t="shared" ref="K69:K80" si="12">G68</f>
        <v>-0.20545775621651205</v>
      </c>
      <c r="L69">
        <f t="shared" ref="L69:L80" si="13">F68</f>
        <v>2.115294412568039E-4</v>
      </c>
    </row>
    <row r="70" spans="1:12" x14ac:dyDescent="0.35">
      <c r="A70" s="1">
        <v>45901</v>
      </c>
      <c r="B70" s="2">
        <v>2374375.3588008792</v>
      </c>
      <c r="C70" s="3">
        <f>VLOOKUP(A70,[1]VIX_MDA!A70:B148,2,0)</f>
        <v>10.67909090909091</v>
      </c>
      <c r="D70">
        <f>VLOOKUP(A70,[1]FO_MDA!A69:B148,2,0)</f>
        <v>42184354.376300566</v>
      </c>
      <c r="E70" s="2">
        <f>VLOOKUP(A70,[1]CM_MDA!A70:B148,2,0)</f>
        <v>111678.46988357695</v>
      </c>
      <c r="F70">
        <f t="shared" si="7"/>
        <v>8.537351180985335E-2</v>
      </c>
      <c r="G70">
        <f t="shared" si="8"/>
        <v>-0.11305998358997627</v>
      </c>
      <c r="H70">
        <f t="shared" si="9"/>
        <v>1.5802256074592205E-2</v>
      </c>
      <c r="I70">
        <f t="shared" si="10"/>
        <v>1.2782559889365702E-2</v>
      </c>
      <c r="J70">
        <f t="shared" si="11"/>
        <v>0</v>
      </c>
      <c r="K70">
        <f t="shared" si="12"/>
        <v>2.5780303964467691E-2</v>
      </c>
      <c r="L70">
        <f t="shared" si="13"/>
        <v>-3.9986121324239135E-2</v>
      </c>
    </row>
    <row r="71" spans="1:12" x14ac:dyDescent="0.35">
      <c r="A71" s="1">
        <v>45931</v>
      </c>
      <c r="B71" s="2">
        <v>2449342.0789443376</v>
      </c>
      <c r="C71" s="3">
        <f>VLOOKUP(A71,[1]VIX_MDA!A71:B149,2,0)</f>
        <v>11.061904761904762</v>
      </c>
      <c r="D71">
        <f>VLOOKUP(A71,[1]FO_MDA!A70:B149,2,0)</f>
        <v>51336143.094183527</v>
      </c>
      <c r="E71" s="2">
        <f>VLOOKUP(A71,[1]CM_MDA!A71:B149,2,0)</f>
        <v>116417.8240066963</v>
      </c>
      <c r="F71">
        <f t="shared" si="7"/>
        <v>3.1085053213570975E-2</v>
      </c>
      <c r="G71">
        <f t="shared" si="8"/>
        <v>3.5219493015516287E-2</v>
      </c>
      <c r="H71">
        <f t="shared" si="9"/>
        <v>4.1561712758857776E-2</v>
      </c>
      <c r="I71">
        <f t="shared" si="10"/>
        <v>1.2404126882700004E-3</v>
      </c>
      <c r="J71">
        <f t="shared" si="11"/>
        <v>3.5219493015516287E-2</v>
      </c>
      <c r="K71">
        <f t="shared" si="12"/>
        <v>-0.11305998358997627</v>
      </c>
      <c r="L71">
        <f t="shared" si="13"/>
        <v>8.537351180985335E-2</v>
      </c>
    </row>
    <row r="72" spans="1:12" x14ac:dyDescent="0.35">
      <c r="A72" s="1">
        <v>45962</v>
      </c>
      <c r="B72" s="2">
        <v>2494313.8767870371</v>
      </c>
      <c r="C72" s="3">
        <f>VLOOKUP(A72,[1]VIX_MDA!A72:B150,2,0)</f>
        <v>12.304210526315789</v>
      </c>
      <c r="D72">
        <f>VLOOKUP(A72,[1]FO_MDA!A71:B150,2,0)</f>
        <v>46678430.554532357</v>
      </c>
      <c r="E72" s="2">
        <f>VLOOKUP(A72,[1]CM_MDA!A72:B150,2,0)</f>
        <v>119228.18472754593</v>
      </c>
      <c r="F72">
        <f t="shared" si="7"/>
        <v>1.8194242813358869E-2</v>
      </c>
      <c r="G72">
        <f t="shared" si="8"/>
        <v>0.10643432096024333</v>
      </c>
      <c r="H72">
        <f t="shared" si="9"/>
        <v>2.385352495831192E-2</v>
      </c>
      <c r="I72">
        <f t="shared" si="10"/>
        <v>1.1328264678268092E-2</v>
      </c>
      <c r="J72">
        <f t="shared" si="11"/>
        <v>0.10643432096024333</v>
      </c>
      <c r="K72">
        <f t="shared" si="12"/>
        <v>3.5219493015516287E-2</v>
      </c>
      <c r="L72">
        <f t="shared" si="13"/>
        <v>3.1085053213570975E-2</v>
      </c>
    </row>
    <row r="73" spans="1:12" x14ac:dyDescent="0.35">
      <c r="A73" s="1">
        <v>45992</v>
      </c>
      <c r="B73" s="2">
        <v>2530015.2321747434</v>
      </c>
      <c r="C73" s="3">
        <f>VLOOKUP(A73,[1]VIX_MDA!A73:B151,2,0)</f>
        <v>10.198636363636366</v>
      </c>
      <c r="D73">
        <f>VLOOKUP(A73,[1]FO_MDA!A72:B151,2,0)</f>
        <v>45842841.411619477</v>
      </c>
      <c r="E73" s="2">
        <f>VLOOKUP(A73,[1]CM_MDA!A73:B151,2,0)</f>
        <v>106721.82544598352</v>
      </c>
      <c r="F73">
        <f t="shared" si="7"/>
        <v>1.4211631243240513E-2</v>
      </c>
      <c r="G73">
        <f t="shared" si="8"/>
        <v>-0.18768750149981345</v>
      </c>
      <c r="H73">
        <f t="shared" si="9"/>
        <v>-0.11081348871355191</v>
      </c>
      <c r="I73">
        <f t="shared" si="10"/>
        <v>3.5226598219242476E-2</v>
      </c>
      <c r="J73">
        <f t="shared" si="11"/>
        <v>0</v>
      </c>
      <c r="K73">
        <f t="shared" si="12"/>
        <v>0.10643432096024333</v>
      </c>
      <c r="L73">
        <f t="shared" si="13"/>
        <v>1.8194242813358869E-2</v>
      </c>
    </row>
    <row r="74" spans="1:12" x14ac:dyDescent="0.35">
      <c r="A74" s="1">
        <v>46023</v>
      </c>
      <c r="B74" s="2">
        <v>2437045.5120694512</v>
      </c>
      <c r="C74" s="3">
        <f>VLOOKUP(A74,[1]VIX_MDA!A74:B152,2,0)</f>
        <v>11.814</v>
      </c>
      <c r="D74">
        <f>VLOOKUP(A74,[1]FO_MDA!A73:B152,2,0)</f>
        <v>57521836.889234424</v>
      </c>
      <c r="E74" s="2">
        <f>VLOOKUP(A74,[1]CM_MDA!A74:B152,2,0)</f>
        <v>135285.79488467384</v>
      </c>
      <c r="F74">
        <f t="shared" si="7"/>
        <v>-3.74388734259503E-2</v>
      </c>
      <c r="G74">
        <f t="shared" si="8"/>
        <v>0.14703124737167328</v>
      </c>
      <c r="H74">
        <f t="shared" si="9"/>
        <v>0.23716385287441358</v>
      </c>
      <c r="I74">
        <f t="shared" si="10"/>
        <v>2.1618187703670182E-2</v>
      </c>
      <c r="J74">
        <f t="shared" si="11"/>
        <v>0.14703124737167328</v>
      </c>
      <c r="K74">
        <f t="shared" si="12"/>
        <v>-0.18768750149981345</v>
      </c>
      <c r="L74">
        <f t="shared" si="13"/>
        <v>1.4211631243240513E-2</v>
      </c>
    </row>
    <row r="75" spans="1:12" x14ac:dyDescent="0.35">
      <c r="A75" s="1">
        <v>46054</v>
      </c>
      <c r="B75" s="2">
        <v>2521830.0379658039</v>
      </c>
      <c r="C75" s="3">
        <f>VLOOKUP(A75,[1]VIX_MDA!A75:B153,2,0)</f>
        <v>13.012857142857142</v>
      </c>
      <c r="D75">
        <f>VLOOKUP(A75,[1]FO_MDA!A74:B153,2,0)</f>
        <v>49916921.281417117</v>
      </c>
      <c r="E75" s="2">
        <f>VLOOKUP(A75,[1]CM_MDA!A75:B153,2,0)</f>
        <v>128565.42884689219</v>
      </c>
      <c r="F75">
        <f t="shared" si="7"/>
        <v>3.4198393587881362E-2</v>
      </c>
      <c r="G75">
        <f t="shared" si="8"/>
        <v>9.6652610816361631E-2</v>
      </c>
      <c r="H75">
        <f t="shared" si="9"/>
        <v>-5.0951591243029122E-2</v>
      </c>
      <c r="I75">
        <f t="shared" si="10"/>
        <v>9.3417271776190646E-3</v>
      </c>
      <c r="J75">
        <f t="shared" si="11"/>
        <v>9.6652610816361631E-2</v>
      </c>
      <c r="K75">
        <f t="shared" si="12"/>
        <v>0.14703124737167328</v>
      </c>
      <c r="L75">
        <f t="shared" si="13"/>
        <v>-3.74388734259503E-2</v>
      </c>
    </row>
    <row r="76" spans="1:12" x14ac:dyDescent="0.35">
      <c r="A76" s="1">
        <v>46082</v>
      </c>
      <c r="B76" s="2">
        <v>2232933.9561253428</v>
      </c>
      <c r="C76" s="3">
        <f>VLOOKUP(A76,[1]VIX_MDA!A76:B154,2,0)</f>
        <v>22.106842105263155</v>
      </c>
      <c r="D76">
        <f>VLOOKUP(A76,[1]FO_MDA!A75:B154,2,0)</f>
        <v>50037399.074213259</v>
      </c>
      <c r="E76" s="2">
        <f>VLOOKUP(A76,[1]CM_MDA!A76:B154,2,0)</f>
        <v>139705.77101351085</v>
      </c>
      <c r="F76">
        <f t="shared" si="7"/>
        <v>-0.12166844738357853</v>
      </c>
      <c r="G76">
        <f t="shared" si="8"/>
        <v>0.52994927843009798</v>
      </c>
      <c r="H76">
        <f t="shared" si="9"/>
        <v>8.3100626800282837E-2</v>
      </c>
      <c r="I76">
        <f t="shared" si="10"/>
        <v>0.28084623770858153</v>
      </c>
      <c r="J76">
        <f t="shared" si="11"/>
        <v>0.52994927843009798</v>
      </c>
      <c r="K76">
        <f t="shared" si="12"/>
        <v>9.6652610816361631E-2</v>
      </c>
      <c r="L76">
        <f t="shared" si="13"/>
        <v>3.4198393587881362E-2</v>
      </c>
    </row>
    <row r="77" spans="1:12" x14ac:dyDescent="0.35">
      <c r="A77" s="1">
        <v>46113</v>
      </c>
      <c r="B77" s="2">
        <v>2161581.1744419327</v>
      </c>
      <c r="C77" s="3">
        <f>VLOOKUP(A77,[1]VIX_MDA!A77:B155,2,0)</f>
        <v>19.97</v>
      </c>
      <c r="D77">
        <f>VLOOKUP(A77,[1]FO_MDA!A76:B155,2,0)</f>
        <v>47183717.463872865</v>
      </c>
      <c r="E77" s="2">
        <f>VLOOKUP(A77,[1]CM_MDA!A77:B155,2,0)</f>
        <v>149576.60662208771</v>
      </c>
      <c r="F77">
        <f t="shared" si="7"/>
        <v>-3.2476417021180842E-2</v>
      </c>
      <c r="G77">
        <f t="shared" si="8"/>
        <v>-0.10165601070377919</v>
      </c>
      <c r="H77">
        <f t="shared" si="9"/>
        <v>6.8270105009575643E-2</v>
      </c>
      <c r="I77">
        <f t="shared" si="10"/>
        <v>1.033394451220687E-2</v>
      </c>
      <c r="J77">
        <f t="shared" si="11"/>
        <v>0</v>
      </c>
      <c r="K77">
        <f t="shared" si="12"/>
        <v>0.52994927843009798</v>
      </c>
      <c r="L77">
        <f t="shared" si="13"/>
        <v>-0.12166844738357853</v>
      </c>
    </row>
    <row r="78" spans="1:12" x14ac:dyDescent="0.35">
      <c r="A78" s="1">
        <v>46143</v>
      </c>
      <c r="B78" s="2">
        <v>2346638.5276878355</v>
      </c>
      <c r="C78" s="3">
        <f>VLOOKUP(A78,[1]VIX_MDA!A78:B156,2,0)</f>
        <v>17.762631578947367</v>
      </c>
      <c r="D78">
        <f>VLOOKUP(A78,[1]FO_MDA!A77:B156,2,0)</f>
        <v>47141741.901736461</v>
      </c>
      <c r="E78" s="2">
        <f>VLOOKUP(A78,[1]CM_MDA!A78:B156,2,0)</f>
        <v>157145.81168566889</v>
      </c>
      <c r="F78">
        <f t="shared" si="7"/>
        <v>8.2143911286927856E-2</v>
      </c>
      <c r="G78">
        <f t="shared" si="8"/>
        <v>-0.11713424635017559</v>
      </c>
      <c r="H78">
        <f t="shared" si="9"/>
        <v>4.9365430724613496E-2</v>
      </c>
      <c r="I78">
        <f t="shared" si="10"/>
        <v>1.3720431668023624E-2</v>
      </c>
      <c r="J78">
        <f t="shared" si="11"/>
        <v>0</v>
      </c>
      <c r="K78">
        <f t="shared" si="12"/>
        <v>-0.10165601070377919</v>
      </c>
      <c r="L78">
        <f t="shared" si="13"/>
        <v>-3.2476417021180842E-2</v>
      </c>
    </row>
    <row r="79" spans="1:12" x14ac:dyDescent="0.35">
      <c r="A79" s="1">
        <v>46174</v>
      </c>
      <c r="B79" s="2">
        <v>2694381.3974901233</v>
      </c>
      <c r="C79" s="3">
        <f>VLOOKUP(A79,[1]VIX_MDA!A79:B157,2,0)</f>
        <v>14.542857142857144</v>
      </c>
      <c r="D79">
        <f>VLOOKUP(A79,[1]FO_MDA!A78:B157,2,0)</f>
        <v>47773433.795056321</v>
      </c>
      <c r="E79" s="2">
        <f>VLOOKUP(A79,[1]CM_MDA!A79:B157,2,0)</f>
        <v>146663.0596976894</v>
      </c>
      <c r="F79">
        <f t="shared" si="7"/>
        <v>0.13818475051603737</v>
      </c>
      <c r="G79">
        <f t="shared" si="8"/>
        <v>-0.199996946016439</v>
      </c>
      <c r="H79">
        <f t="shared" si="9"/>
        <v>-6.9036266218989256E-2</v>
      </c>
      <c r="I79">
        <f t="shared" si="10"/>
        <v>3.9998778415902415E-2</v>
      </c>
      <c r="J79">
        <f t="shared" si="11"/>
        <v>0</v>
      </c>
      <c r="K79">
        <f t="shared" si="12"/>
        <v>-0.11713424635017559</v>
      </c>
      <c r="L79">
        <f t="shared" si="13"/>
        <v>8.2143911286927856E-2</v>
      </c>
    </row>
    <row r="80" spans="1:12" x14ac:dyDescent="0.35">
      <c r="A80" s="1">
        <v>46204</v>
      </c>
      <c r="B80" s="2">
        <v>2807126.7911015661</v>
      </c>
      <c r="C80" s="3">
        <f>VLOOKUP(A80,[1]VIX_MDA!A80:B158,2,0)</f>
        <v>12.927647058823528</v>
      </c>
      <c r="D80">
        <f>VLOOKUP(A80,[1]FO_MDA!A79:B158,2,0)</f>
        <v>44074522.035999984</v>
      </c>
      <c r="E80" s="2">
        <f>VLOOKUP(A80,[1]CM_MDA!A80:B158,2,0)</f>
        <v>136773.29615843159</v>
      </c>
      <c r="F80">
        <f t="shared" si="7"/>
        <v>4.0992825068002108E-2</v>
      </c>
      <c r="G80">
        <f t="shared" si="8"/>
        <v>-0.11773175417920594</v>
      </c>
      <c r="H80">
        <f t="shared" si="9"/>
        <v>-6.9813062357959269E-2</v>
      </c>
      <c r="I80">
        <f t="shared" si="10"/>
        <v>1.3860765942112975E-2</v>
      </c>
      <c r="J80">
        <f t="shared" si="11"/>
        <v>0</v>
      </c>
      <c r="K80">
        <f t="shared" si="12"/>
        <v>-0.199996946016439</v>
      </c>
      <c r="L80">
        <f t="shared" si="13"/>
        <v>0.13818475051603737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2026-09-04T16:50:23Z</dcterms:created>
  <dcterms:modified xsi:type="dcterms:W3CDTF">2026-09-04T16:55:56Z</dcterms:modified>
</cp:coreProperties>
</file>