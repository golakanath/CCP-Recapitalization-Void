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D9B81EF1-ECEC-4F25-B4EA-88F3B50F5323}" xr6:coauthVersionLast="47" xr6:coauthVersionMax="47" xr10:uidLastSave="{00000000-0000-0000-0000-000000000000}"/>
  <bookViews>
    <workbookView xWindow="-110" yWindow="-110" windowWidth="19420" windowHeight="10300" xr2:uid="{3063807C-4DAB-4085-BEB9-C6558844D73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</calcChain>
</file>

<file path=xl/sharedStrings.xml><?xml version="1.0" encoding="utf-8"?>
<sst xmlns="http://schemas.openxmlformats.org/spreadsheetml/2006/main" count="8" uniqueCount="8">
  <si>
    <t>MONTHYR</t>
  </si>
  <si>
    <t>SGF1</t>
  </si>
  <si>
    <t>OI</t>
  </si>
  <si>
    <t>LSGF</t>
  </si>
  <si>
    <t>LAGLSGF</t>
  </si>
  <si>
    <t>LOI</t>
  </si>
  <si>
    <t>YTDOI</t>
  </si>
  <si>
    <t>LYTDOI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</si>
</sst>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1" fillId="2" borderId="0" xfId="0" applyNumberFormat="1" applyFon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206D-5259-4922-82AC-CF178FBEBE1C}">
  <dimension ref="A1:H42"/>
  <sheetViews>
    <sheetView tabSelected="1" workbookViewId="0">
      <selection activeCell="H3" sqref="H3:H28"/>
    </sheetView>
  </sheetViews>
  <sheetFormatPr defaultRowHeight="14.5" x14ac:dyDescent="0.35"/>
  <cols>
    <col min="3" max="3" width="9.36328125" bestFit="1" customWidth="1"/>
  </cols>
  <sheetData>
    <row r="1" spans="1:8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43800</v>
      </c>
      <c r="B2" s="3">
        <v>3060.44</v>
      </c>
    </row>
    <row r="3" spans="1:8" x14ac:dyDescent="0.35">
      <c r="A3" s="1">
        <v>43891</v>
      </c>
      <c r="B3" s="2">
        <v>3149.13</v>
      </c>
      <c r="C3" s="3">
        <v>253346.42920749786</v>
      </c>
      <c r="D3">
        <f>+LN(B3)</f>
        <v>8.0548815031958743</v>
      </c>
      <c r="E3">
        <f>+LN(B2)</f>
        <v>8.0263139754591855</v>
      </c>
      <c r="F3">
        <v>12.442513116498427</v>
      </c>
      <c r="G3">
        <v>332914.38076999999</v>
      </c>
      <c r="H3">
        <f>LN(G3)</f>
        <v>12.715640621098098</v>
      </c>
    </row>
    <row r="4" spans="1:8" x14ac:dyDescent="0.35">
      <c r="A4" s="1">
        <v>43983</v>
      </c>
      <c r="B4" s="4">
        <v>3266.26</v>
      </c>
      <c r="C4" s="3">
        <v>301287.16546886868</v>
      </c>
      <c r="D4">
        <f t="shared" ref="D4:D28" si="0">+LN(B4)</f>
        <v>8.0914008784451372</v>
      </c>
      <c r="E4">
        <f t="shared" ref="E4:E28" si="1">+LN(B3)</f>
        <v>8.0548815031958743</v>
      </c>
      <c r="F4">
        <v>12.615819127028461</v>
      </c>
      <c r="G4">
        <v>243546.15528000001</v>
      </c>
      <c r="H4">
        <f t="shared" ref="H4:H28" si="2">LN(G4)</f>
        <v>12.40306175294708</v>
      </c>
    </row>
    <row r="5" spans="1:8" x14ac:dyDescent="0.35">
      <c r="A5" s="1">
        <v>44075</v>
      </c>
      <c r="B5" s="2">
        <v>3380.31</v>
      </c>
      <c r="C5" s="3">
        <v>384403.1781930271</v>
      </c>
      <c r="D5">
        <f t="shared" si="0"/>
        <v>8.1257227002477421</v>
      </c>
      <c r="E5">
        <f t="shared" si="1"/>
        <v>8.0914008784451372</v>
      </c>
      <c r="F5">
        <v>12.859447223976007</v>
      </c>
      <c r="G5">
        <v>308444.50513000001</v>
      </c>
      <c r="H5">
        <f t="shared" si="2"/>
        <v>12.639297220019712</v>
      </c>
    </row>
    <row r="6" spans="1:8" x14ac:dyDescent="0.35">
      <c r="A6" s="1">
        <v>44166</v>
      </c>
      <c r="B6" s="4">
        <v>3470.54</v>
      </c>
      <c r="C6" s="3">
        <v>518439.09354047594</v>
      </c>
      <c r="D6">
        <f t="shared" si="0"/>
        <v>8.1520654804299735</v>
      </c>
      <c r="E6">
        <f t="shared" si="1"/>
        <v>8.1257227002477421</v>
      </c>
      <c r="F6">
        <v>13.158577833099081</v>
      </c>
      <c r="G6">
        <v>360280.29629999999</v>
      </c>
      <c r="H6">
        <f t="shared" si="2"/>
        <v>12.79463760831324</v>
      </c>
    </row>
    <row r="7" spans="1:8" x14ac:dyDescent="0.35">
      <c r="A7" s="1">
        <v>44256</v>
      </c>
      <c r="B7" s="2">
        <v>3528.3</v>
      </c>
      <c r="C7" s="3">
        <v>586615.22087879712</v>
      </c>
      <c r="D7">
        <f t="shared" si="0"/>
        <v>8.1685714475251014</v>
      </c>
      <c r="E7">
        <f t="shared" si="1"/>
        <v>8.1520654804299735</v>
      </c>
      <c r="F7">
        <v>13.282124382817216</v>
      </c>
      <c r="G7">
        <v>413591.74819999997</v>
      </c>
      <c r="H7">
        <f t="shared" si="2"/>
        <v>12.932634650816787</v>
      </c>
    </row>
    <row r="8" spans="1:8" x14ac:dyDescent="0.35">
      <c r="A8" s="1">
        <v>44348</v>
      </c>
      <c r="B8" s="2">
        <v>3630.67</v>
      </c>
      <c r="C8" s="3">
        <v>691393.39530246658</v>
      </c>
      <c r="D8">
        <f t="shared" si="0"/>
        <v>8.1971724832301511</v>
      </c>
      <c r="E8">
        <f t="shared" si="1"/>
        <v>8.1685714475251014</v>
      </c>
      <c r="F8">
        <v>13.446464253780798</v>
      </c>
      <c r="G8">
        <v>629347.71319000004</v>
      </c>
      <c r="H8">
        <f t="shared" si="2"/>
        <v>13.352439186106947</v>
      </c>
    </row>
    <row r="9" spans="1:8" x14ac:dyDescent="0.35">
      <c r="A9" s="1">
        <v>44440</v>
      </c>
      <c r="B9" s="2">
        <v>3725.83</v>
      </c>
      <c r="C9" s="3">
        <v>913105.56779519399</v>
      </c>
      <c r="D9">
        <f t="shared" si="0"/>
        <v>8.2230449247851869</v>
      </c>
      <c r="E9">
        <f t="shared" si="1"/>
        <v>8.1971724832301511</v>
      </c>
      <c r="F9">
        <v>13.724606780269768</v>
      </c>
      <c r="G9">
        <v>723950.13968999998</v>
      </c>
      <c r="H9">
        <f t="shared" si="2"/>
        <v>13.492477801164863</v>
      </c>
    </row>
    <row r="10" spans="1:8" x14ac:dyDescent="0.35">
      <c r="A10" s="1">
        <v>44531</v>
      </c>
      <c r="B10" s="2">
        <v>3856.72</v>
      </c>
      <c r="C10" s="3">
        <v>922403.33660535607</v>
      </c>
      <c r="D10">
        <f t="shared" si="0"/>
        <v>8.2575723602917552</v>
      </c>
      <c r="E10">
        <f t="shared" si="1"/>
        <v>8.2230449247851869</v>
      </c>
      <c r="F10">
        <v>13.734737865238939</v>
      </c>
      <c r="G10">
        <v>792356.6017</v>
      </c>
      <c r="H10">
        <f t="shared" si="2"/>
        <v>13.582766824134062</v>
      </c>
    </row>
    <row r="11" spans="1:8" x14ac:dyDescent="0.35">
      <c r="A11" s="1">
        <v>44621</v>
      </c>
      <c r="B11" s="2">
        <v>3971.25</v>
      </c>
      <c r="C11" s="3">
        <v>967157.61316651455</v>
      </c>
      <c r="D11">
        <f t="shared" si="0"/>
        <v>8.2868361855837254</v>
      </c>
      <c r="E11">
        <f t="shared" si="1"/>
        <v>8.2575723602917552</v>
      </c>
      <c r="F11">
        <v>13.782116753052883</v>
      </c>
      <c r="G11">
        <v>830644.59978000005</v>
      </c>
      <c r="H11">
        <f t="shared" si="2"/>
        <v>13.629957304595635</v>
      </c>
    </row>
    <row r="12" spans="1:8" x14ac:dyDescent="0.35">
      <c r="A12" s="1">
        <v>44713</v>
      </c>
      <c r="B12" s="2">
        <v>4099.26</v>
      </c>
      <c r="C12" s="3">
        <v>950762.48687366548</v>
      </c>
      <c r="D12">
        <f t="shared" si="0"/>
        <v>8.318561748597638</v>
      </c>
      <c r="E12">
        <f t="shared" si="1"/>
        <v>8.2868361855837254</v>
      </c>
      <c r="F12">
        <v>13.765019559413085</v>
      </c>
      <c r="G12">
        <v>955117.64229999995</v>
      </c>
      <c r="H12">
        <f t="shared" si="2"/>
        <v>13.769589797530587</v>
      </c>
    </row>
    <row r="13" spans="1:8" x14ac:dyDescent="0.35">
      <c r="A13" s="1">
        <v>44805</v>
      </c>
      <c r="B13" s="2">
        <v>4245.78</v>
      </c>
      <c r="C13" s="3">
        <v>1159872.1494074161</v>
      </c>
      <c r="D13">
        <f t="shared" si="0"/>
        <v>8.3536808274493346</v>
      </c>
      <c r="E13">
        <f t="shared" si="1"/>
        <v>8.318561748597638</v>
      </c>
      <c r="F13">
        <v>13.963820340980226</v>
      </c>
      <c r="G13">
        <v>1012007.2922</v>
      </c>
      <c r="H13">
        <f t="shared" si="2"/>
        <v>13.827446334534812</v>
      </c>
    </row>
    <row r="14" spans="1:8" x14ac:dyDescent="0.35">
      <c r="A14" s="1">
        <v>44896</v>
      </c>
      <c r="B14" s="6">
        <v>4432.51</v>
      </c>
      <c r="C14" s="3">
        <v>1335905.4074401341</v>
      </c>
      <c r="D14">
        <f t="shared" si="0"/>
        <v>8.3967212940089873</v>
      </c>
      <c r="E14">
        <f t="shared" si="1"/>
        <v>8.3536808274493346</v>
      </c>
      <c r="F14">
        <v>14.10511982775782</v>
      </c>
      <c r="G14">
        <v>1082961.8611999999</v>
      </c>
      <c r="H14">
        <f t="shared" si="2"/>
        <v>13.895210309481223</v>
      </c>
    </row>
    <row r="15" spans="1:8" x14ac:dyDescent="0.35">
      <c r="A15" s="1">
        <v>44986</v>
      </c>
      <c r="B15" s="2">
        <v>4797.2299999999996</v>
      </c>
      <c r="C15" s="3">
        <v>1369359.4319476932</v>
      </c>
      <c r="D15">
        <f t="shared" si="0"/>
        <v>8.4757939469859735</v>
      </c>
      <c r="E15">
        <f t="shared" si="1"/>
        <v>8.3967212940089873</v>
      </c>
      <c r="F15">
        <v>14.129853620538951</v>
      </c>
      <c r="G15">
        <v>1144457.9224</v>
      </c>
      <c r="H15">
        <f t="shared" si="2"/>
        <v>13.950441652648667</v>
      </c>
    </row>
    <row r="16" spans="1:8" x14ac:dyDescent="0.35">
      <c r="A16" s="1">
        <v>45078</v>
      </c>
      <c r="B16" s="2">
        <v>5197.37</v>
      </c>
      <c r="C16" s="3">
        <v>1666038.5811597346</v>
      </c>
      <c r="D16">
        <f t="shared" si="0"/>
        <v>8.5559080073943505</v>
      </c>
      <c r="E16">
        <f t="shared" si="1"/>
        <v>8.4757939469859735</v>
      </c>
      <c r="F16">
        <v>14.325959259399808</v>
      </c>
      <c r="G16">
        <v>1548174.4232000001</v>
      </c>
      <c r="H16">
        <f t="shared" si="2"/>
        <v>14.252587003270079</v>
      </c>
    </row>
    <row r="17" spans="1:8" x14ac:dyDescent="0.35">
      <c r="A17" s="1">
        <v>45170</v>
      </c>
      <c r="B17" s="2">
        <v>5941.18</v>
      </c>
      <c r="C17" s="3">
        <v>1872309.326720899</v>
      </c>
      <c r="D17">
        <f t="shared" si="0"/>
        <v>8.6896630458264106</v>
      </c>
      <c r="E17">
        <f t="shared" si="1"/>
        <v>8.5559080073943505</v>
      </c>
      <c r="F17">
        <v>14.442683161002234</v>
      </c>
      <c r="G17">
        <v>1682162.4394</v>
      </c>
      <c r="H17">
        <f t="shared" si="2"/>
        <v>14.335590690000583</v>
      </c>
    </row>
    <row r="18" spans="1:8" x14ac:dyDescent="0.35">
      <c r="A18" s="1">
        <v>45261</v>
      </c>
      <c r="B18" s="2">
        <v>6636.76</v>
      </c>
      <c r="C18" s="3">
        <v>2102335.7054934455</v>
      </c>
      <c r="D18">
        <f t="shared" si="0"/>
        <v>8.8003791715760276</v>
      </c>
      <c r="E18">
        <f t="shared" si="1"/>
        <v>8.6896630458264106</v>
      </c>
      <c r="F18">
        <v>14.558559525323377</v>
      </c>
      <c r="G18">
        <v>1773545.1179</v>
      </c>
      <c r="H18">
        <f t="shared" si="2"/>
        <v>14.388490992906053</v>
      </c>
    </row>
    <row r="19" spans="1:8" x14ac:dyDescent="0.35">
      <c r="A19" s="1">
        <v>45352</v>
      </c>
      <c r="B19" s="2">
        <v>8818.99</v>
      </c>
      <c r="C19" s="3">
        <v>2138084.9010960306</v>
      </c>
      <c r="D19">
        <f t="shared" si="0"/>
        <v>9.0846626299721276</v>
      </c>
      <c r="E19">
        <f t="shared" si="1"/>
        <v>8.8003791715760276</v>
      </c>
      <c r="F19">
        <v>14.575421080300684</v>
      </c>
      <c r="G19">
        <v>1865547.3766999999</v>
      </c>
      <c r="H19">
        <f t="shared" si="2"/>
        <v>14.439065067568524</v>
      </c>
    </row>
    <row r="20" spans="1:8" x14ac:dyDescent="0.35">
      <c r="A20" s="1">
        <v>45444</v>
      </c>
      <c r="B20" s="2">
        <v>9130.2800000000007</v>
      </c>
      <c r="C20" s="3">
        <v>2356652.8165251957</v>
      </c>
      <c r="D20">
        <f t="shared" si="0"/>
        <v>9.1193516412458102</v>
      </c>
      <c r="E20">
        <f t="shared" si="1"/>
        <v>9.0846626299721276</v>
      </c>
      <c r="F20">
        <v>14.672752872182508</v>
      </c>
      <c r="G20">
        <v>2256819.4668999999</v>
      </c>
      <c r="H20">
        <f t="shared" si="2"/>
        <v>14.629467064518931</v>
      </c>
    </row>
    <row r="21" spans="1:8" x14ac:dyDescent="0.35">
      <c r="A21" s="1">
        <v>45536</v>
      </c>
      <c r="B21" s="2">
        <v>9428.5499999999993</v>
      </c>
      <c r="C21" s="3">
        <v>2765841.1152776815</v>
      </c>
      <c r="D21">
        <f t="shared" si="0"/>
        <v>9.1514975992233936</v>
      </c>
      <c r="E21">
        <f t="shared" si="1"/>
        <v>9.1193516412458102</v>
      </c>
      <c r="F21">
        <v>14.832855347502637</v>
      </c>
      <c r="G21">
        <v>2420274.6485000001</v>
      </c>
      <c r="H21">
        <f t="shared" si="2"/>
        <v>14.699391582808943</v>
      </c>
    </row>
    <row r="22" spans="1:8" x14ac:dyDescent="0.35">
      <c r="A22" s="1">
        <v>45627</v>
      </c>
      <c r="B22" s="2">
        <v>11673.78</v>
      </c>
      <c r="C22" s="3">
        <v>2486473.8460738845</v>
      </c>
      <c r="D22">
        <f t="shared" si="0"/>
        <v>9.3651005802889191</v>
      </c>
      <c r="E22">
        <f t="shared" si="1"/>
        <v>9.1514975992233936</v>
      </c>
      <c r="F22">
        <v>14.72637613871197</v>
      </c>
      <c r="G22">
        <v>2464461.9123999998</v>
      </c>
      <c r="H22">
        <f t="shared" si="2"/>
        <v>14.717484050514335</v>
      </c>
    </row>
    <row r="23" spans="1:8" x14ac:dyDescent="0.35">
      <c r="A23" s="1">
        <v>45717</v>
      </c>
      <c r="B23" s="2">
        <v>11978.58</v>
      </c>
      <c r="C23" s="3">
        <v>2231725.2157410216</v>
      </c>
      <c r="D23">
        <f t="shared" si="0"/>
        <v>9.3908753337592916</v>
      </c>
      <c r="E23">
        <f t="shared" si="1"/>
        <v>9.3651005802889191</v>
      </c>
      <c r="F23">
        <v>14.618285483677388</v>
      </c>
      <c r="G23">
        <v>2395941.8703000001</v>
      </c>
      <c r="H23">
        <f t="shared" si="2"/>
        <v>14.689286976779599</v>
      </c>
    </row>
    <row r="24" spans="1:8" x14ac:dyDescent="0.35">
      <c r="A24" s="1">
        <v>45809</v>
      </c>
      <c r="B24" s="2">
        <v>12226.74</v>
      </c>
      <c r="C24" s="3">
        <v>2268537.784506951</v>
      </c>
      <c r="D24">
        <f t="shared" si="0"/>
        <v>9.4113806355032796</v>
      </c>
      <c r="E24">
        <f t="shared" si="1"/>
        <v>9.3908753337592916</v>
      </c>
      <c r="F24">
        <v>14.634646034110967</v>
      </c>
      <c r="G24">
        <v>2224845.0721</v>
      </c>
      <c r="H24">
        <f t="shared" si="2"/>
        <v>14.615197840641306</v>
      </c>
    </row>
    <row r="25" spans="1:8" x14ac:dyDescent="0.35">
      <c r="A25" s="1">
        <v>45901</v>
      </c>
      <c r="B25" s="2">
        <v>12487.43</v>
      </c>
      <c r="C25" s="3">
        <v>2374375.3588008792</v>
      </c>
      <c r="D25">
        <f t="shared" si="0"/>
        <v>9.4324778173354922</v>
      </c>
      <c r="E25">
        <f t="shared" si="1"/>
        <v>9.4113806355032796</v>
      </c>
      <c r="F25">
        <v>14.680244954037837</v>
      </c>
      <c r="G25">
        <v>2249667.7951000002</v>
      </c>
      <c r="H25">
        <f t="shared" si="2"/>
        <v>14.626293116657545</v>
      </c>
    </row>
    <row r="26" spans="1:8" x14ac:dyDescent="0.35">
      <c r="A26" s="1">
        <v>45992</v>
      </c>
      <c r="B26" s="2">
        <v>12734.12</v>
      </c>
      <c r="C26" s="3">
        <v>2530015.2321747434</v>
      </c>
      <c r="D26">
        <f t="shared" si="0"/>
        <v>9.4520402841229565</v>
      </c>
      <c r="E26">
        <f t="shared" si="1"/>
        <v>9.4324778173354922</v>
      </c>
      <c r="F26">
        <v>14.743735881308007</v>
      </c>
      <c r="G26">
        <v>2330186.4397999998</v>
      </c>
      <c r="H26">
        <f t="shared" si="2"/>
        <v>14.661458839422233</v>
      </c>
    </row>
    <row r="27" spans="1:8" x14ac:dyDescent="0.35">
      <c r="A27" s="1">
        <v>46082</v>
      </c>
      <c r="B27" s="2">
        <v>13027.77</v>
      </c>
      <c r="C27" s="3">
        <v>2232933.9561253428</v>
      </c>
      <c r="D27">
        <f t="shared" si="0"/>
        <v>9.4748385119572021</v>
      </c>
      <c r="E27">
        <f t="shared" si="1"/>
        <v>9.4520402841229565</v>
      </c>
      <c r="F27">
        <v>14.61882695408636</v>
      </c>
      <c r="G27">
        <v>2346957.2886999999</v>
      </c>
      <c r="H27">
        <f t="shared" si="2"/>
        <v>14.668630276414481</v>
      </c>
    </row>
    <row r="28" spans="1:8" x14ac:dyDescent="0.35">
      <c r="A28" s="1">
        <v>46174</v>
      </c>
      <c r="B28" s="2">
        <v>13361.94</v>
      </c>
      <c r="C28" s="3">
        <v>2694381.3974901233</v>
      </c>
      <c r="D28">
        <f t="shared" si="0"/>
        <v>9.5001656461295845</v>
      </c>
      <c r="E28">
        <f t="shared" si="1"/>
        <v>9.4748385119572021</v>
      </c>
      <c r="F28">
        <v>14.806679198868144</v>
      </c>
      <c r="G28">
        <v>2400867.0331999999</v>
      </c>
      <c r="H28">
        <f t="shared" si="2"/>
        <v>14.69134049391144</v>
      </c>
    </row>
    <row r="29" spans="1:8" x14ac:dyDescent="0.35">
      <c r="A29" s="1"/>
      <c r="B29" s="5"/>
    </row>
    <row r="30" spans="1:8" x14ac:dyDescent="0.35">
      <c r="A30" s="1"/>
      <c r="B30" s="5"/>
    </row>
    <row r="31" spans="1:8" x14ac:dyDescent="0.35">
      <c r="A31" s="1"/>
      <c r="B31" s="5"/>
    </row>
    <row r="32" spans="1:8" x14ac:dyDescent="0.35">
      <c r="A32" s="1"/>
      <c r="B32" s="5"/>
    </row>
    <row r="33" spans="1:2" x14ac:dyDescent="0.35">
      <c r="A33" s="1"/>
      <c r="B33" s="5"/>
    </row>
    <row r="34" spans="1:2" x14ac:dyDescent="0.35">
      <c r="A34" s="1"/>
      <c r="B34" s="5"/>
    </row>
    <row r="35" spans="1:2" x14ac:dyDescent="0.35">
      <c r="A35" s="1"/>
      <c r="B35" s="5"/>
    </row>
    <row r="36" spans="1:2" x14ac:dyDescent="0.35">
      <c r="A36" s="1"/>
    </row>
    <row r="37" spans="1:2" x14ac:dyDescent="0.35">
      <c r="A37" s="1"/>
    </row>
    <row r="38" spans="1:2" x14ac:dyDescent="0.35">
      <c r="A38" s="1"/>
    </row>
    <row r="39" spans="1:2" x14ac:dyDescent="0.35">
      <c r="A39" s="1"/>
    </row>
    <row r="40" spans="1:2" x14ac:dyDescent="0.35">
      <c r="A40" s="1"/>
    </row>
    <row r="41" spans="1:2" x14ac:dyDescent="0.35">
      <c r="A41" s="1"/>
    </row>
    <row r="42" spans="1:2" x14ac:dyDescent="0.35">
      <c r="A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2026-09-05T11:06:59Z</dcterms:created>
  <dcterms:modified xsi:type="dcterms:W3CDTF">2026-10-19T05:01:35Z</dcterms:modified>
</cp:coreProperties>
</file>