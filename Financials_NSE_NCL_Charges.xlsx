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A55361D2-6988-4F5E-B8A3-24DD1D837B36}" xr6:coauthVersionLast="47" xr6:coauthVersionMax="47" xr10:uidLastSave="{00000000-0000-0000-0000-000000000000}"/>
  <bookViews>
    <workbookView xWindow="-110" yWindow="-110" windowWidth="19420" windowHeight="10300" xr2:uid="{80737F0F-025C-4A19-814A-E81E394BE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B3" i="1"/>
  <c r="C2" i="1"/>
  <c r="B2" i="1"/>
  <c r="D20" i="1"/>
  <c r="D21" i="1"/>
  <c r="D18" i="1"/>
  <c r="D19" i="1"/>
  <c r="D14" i="1"/>
  <c r="D15" i="1"/>
  <c r="D16" i="1"/>
  <c r="D17" i="1"/>
  <c r="D12" i="1"/>
  <c r="D13" i="1"/>
  <c r="D10" i="1"/>
  <c r="D11" i="1"/>
  <c r="D7" i="1"/>
  <c r="D4" i="1"/>
  <c r="D5" i="1"/>
  <c r="D3" i="1"/>
  <c r="D2" i="1"/>
  <c r="D6" i="1"/>
  <c r="D8" i="1"/>
  <c r="D9" i="1"/>
</calcChain>
</file>

<file path=xl/sharedStrings.xml><?xml version="1.0" encoding="utf-8"?>
<sst xmlns="http://schemas.openxmlformats.org/spreadsheetml/2006/main" count="4" uniqueCount="4">
  <si>
    <t>NSE</t>
  </si>
  <si>
    <t>Share</t>
  </si>
  <si>
    <t>Year</t>
  </si>
  <si>
    <t>Clg charges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</si>
</sst>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NSE Operating</a:t>
            </a:r>
            <a:r>
              <a:rPr lang="en-IN" baseline="0"/>
              <a:t> Income vxs Clearing Charges Shared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xVal>
          <c:yVal>
            <c:numRef>
              <c:f>Sheet1!$B$2:$B$21</c:f>
              <c:numCache>
                <c:formatCode>#,##0.00</c:formatCode>
                <c:ptCount val="20"/>
                <c:pt idx="0">
                  <c:v>413.55830000000003</c:v>
                </c:pt>
                <c:pt idx="1">
                  <c:v>746.15160000000003</c:v>
                </c:pt>
                <c:pt idx="2" formatCode="General">
                  <c:v>573.38</c:v>
                </c:pt>
                <c:pt idx="3" formatCode="General">
                  <c:v>768.43</c:v>
                </c:pt>
                <c:pt idx="4" formatCode="General">
                  <c:v>845.57</c:v>
                </c:pt>
                <c:pt idx="5" formatCode="General">
                  <c:v>821.13</c:v>
                </c:pt>
                <c:pt idx="6">
                  <c:v>770.12</c:v>
                </c:pt>
                <c:pt idx="7">
                  <c:v>864.41</c:v>
                </c:pt>
                <c:pt idx="8">
                  <c:v>1126.4100000000001</c:v>
                </c:pt>
                <c:pt idx="9">
                  <c:v>1233.8699999999999</c:v>
                </c:pt>
                <c:pt idx="10">
                  <c:v>1690.5</c:v>
                </c:pt>
                <c:pt idx="11">
                  <c:v>2132.7199999999998</c:v>
                </c:pt>
                <c:pt idx="12">
                  <c:v>2450.44</c:v>
                </c:pt>
                <c:pt idx="13">
                  <c:v>2832.43</c:v>
                </c:pt>
                <c:pt idx="14">
                  <c:v>4848.29</c:v>
                </c:pt>
                <c:pt idx="15">
                  <c:v>7762.8</c:v>
                </c:pt>
                <c:pt idx="16">
                  <c:v>11181.03</c:v>
                </c:pt>
                <c:pt idx="17">
                  <c:v>13510.54</c:v>
                </c:pt>
                <c:pt idx="18">
                  <c:v>15433</c:v>
                </c:pt>
                <c:pt idx="19">
                  <c:v>14914.44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1F-4D52-8A82-20C594DDC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033311"/>
        <c:axId val="1802066703"/>
      </c:scatterChart>
      <c:scatterChart>
        <c:scatterStyle val="smooth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Clg charges Paid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xVal>
          <c:yVal>
            <c:numRef>
              <c:f>Sheet1!$C$2:$C$21</c:f>
              <c:numCache>
                <c:formatCode>#,##0.00</c:formatCode>
                <c:ptCount val="20"/>
                <c:pt idx="0">
                  <c:v>45.107900000000001</c:v>
                </c:pt>
                <c:pt idx="1">
                  <c:v>73.227699999999999</c:v>
                </c:pt>
                <c:pt idx="2" formatCode="General">
                  <c:v>61.27</c:v>
                </c:pt>
                <c:pt idx="3" formatCode="General">
                  <c:v>95.91</c:v>
                </c:pt>
                <c:pt idx="4" formatCode="General">
                  <c:v>119.89</c:v>
                </c:pt>
                <c:pt idx="5" formatCode="General">
                  <c:v>115.77</c:v>
                </c:pt>
                <c:pt idx="6">
                  <c:v>72.09</c:v>
                </c:pt>
                <c:pt idx="7">
                  <c:v>75.63</c:v>
                </c:pt>
                <c:pt idx="8">
                  <c:v>91.18</c:v>
                </c:pt>
                <c:pt idx="9">
                  <c:v>98.54</c:v>
                </c:pt>
                <c:pt idx="10" formatCode="General">
                  <c:v>111.7</c:v>
                </c:pt>
                <c:pt idx="11" formatCode="General">
                  <c:v>114.7</c:v>
                </c:pt>
                <c:pt idx="12" formatCode="General">
                  <c:v>139.66999999999999</c:v>
                </c:pt>
                <c:pt idx="13" formatCode="General">
                  <c:v>178.66</c:v>
                </c:pt>
                <c:pt idx="14" formatCode="General">
                  <c:v>284.94</c:v>
                </c:pt>
                <c:pt idx="15" formatCode="General">
                  <c:v>458.23</c:v>
                </c:pt>
                <c:pt idx="16" formatCode="General">
                  <c:v>679.69</c:v>
                </c:pt>
                <c:pt idx="17">
                  <c:v>1240.9000000000001</c:v>
                </c:pt>
                <c:pt idx="18">
                  <c:v>1357.54</c:v>
                </c:pt>
                <c:pt idx="19" formatCode="General">
                  <c:v>796.86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1F-4D52-8A82-20C594DDC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541071"/>
        <c:axId val="1437519951"/>
      </c:scatterChart>
      <c:valAx>
        <c:axId val="179903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66703"/>
        <c:crosses val="autoZero"/>
        <c:crossBetween val="midCat"/>
      </c:valAx>
      <c:valAx>
        <c:axId val="180206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33311"/>
        <c:crosses val="autoZero"/>
        <c:crossBetween val="midCat"/>
      </c:valAx>
      <c:valAx>
        <c:axId val="1437519951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41071"/>
        <c:crosses val="max"/>
        <c:crossBetween val="midCat"/>
      </c:valAx>
      <c:valAx>
        <c:axId val="1437541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51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136525</xdr:colOff>
      <xdr:row>2</xdr:row>
      <xdr:rowOff>82550</xdr:rowOff>
    </xdr:from>
    <xdr:to>
      <xdr:col>12</xdr:col>
      <xdr:colOff>441325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13E19-3268-4299-2A37-171086A13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4BC9-D91A-4380-8F93-66465DF2A16C}">
  <dimension ref="A1:D21"/>
  <sheetViews>
    <sheetView tabSelected="1" workbookViewId="0">
      <selection sqref="A1:XFD1048576"/>
    </sheetView>
  </sheetViews>
  <sheetFormatPr defaultRowHeight="14.5" x14ac:dyDescent="0.35"/>
  <cols>
    <col min="2" max="2" width="8.90625" bestFit="1" customWidth="1"/>
    <col min="3" max="3" width="14.26953125" bestFit="1" customWidth="1"/>
  </cols>
  <sheetData>
    <row r="1" spans="1:4" x14ac:dyDescent="0.35">
      <c r="A1" t="s">
        <v>2</v>
      </c>
      <c r="B1" t="s">
        <v>0</v>
      </c>
      <c r="C1" t="s">
        <v>3</v>
      </c>
      <c r="D1" t="s">
        <v>1</v>
      </c>
    </row>
    <row r="2" spans="1:4" x14ac:dyDescent="0.35">
      <c r="A2">
        <v>2007</v>
      </c>
      <c r="B2" s="1">
        <f>41355.83/100</f>
        <v>413.55830000000003</v>
      </c>
      <c r="C2" s="1">
        <f>4510.79/100</f>
        <v>45.107900000000001</v>
      </c>
      <c r="D2" s="2">
        <f>C2/B2</f>
        <v>0.1090726507000343</v>
      </c>
    </row>
    <row r="3" spans="1:4" x14ac:dyDescent="0.35">
      <c r="A3">
        <v>2008</v>
      </c>
      <c r="B3" s="1">
        <f>74615.16/100</f>
        <v>746.15160000000003</v>
      </c>
      <c r="C3" s="1">
        <f>7322.77/100</f>
        <v>73.227699999999999</v>
      </c>
      <c r="D3" s="2">
        <f t="shared" ref="D3:D21" si="0">C3/B3</f>
        <v>9.8140511928138996E-2</v>
      </c>
    </row>
    <row r="4" spans="1:4" x14ac:dyDescent="0.35">
      <c r="A4">
        <v>2009</v>
      </c>
      <c r="B4">
        <v>573.38</v>
      </c>
      <c r="C4">
        <v>61.27</v>
      </c>
      <c r="D4" s="2">
        <f t="shared" si="0"/>
        <v>0.10685758135965678</v>
      </c>
    </row>
    <row r="5" spans="1:4" x14ac:dyDescent="0.35">
      <c r="A5">
        <v>2010</v>
      </c>
      <c r="B5">
        <v>768.43</v>
      </c>
      <c r="C5">
        <v>95.91</v>
      </c>
      <c r="D5" s="2">
        <f t="shared" si="0"/>
        <v>0.12481293026040108</v>
      </c>
    </row>
    <row r="6" spans="1:4" x14ac:dyDescent="0.35">
      <c r="A6">
        <v>2011</v>
      </c>
      <c r="B6">
        <v>845.57</v>
      </c>
      <c r="C6">
        <v>119.89</v>
      </c>
      <c r="D6" s="2">
        <f t="shared" si="0"/>
        <v>0.14178601416795769</v>
      </c>
    </row>
    <row r="7" spans="1:4" x14ac:dyDescent="0.35">
      <c r="A7">
        <v>2012</v>
      </c>
      <c r="B7">
        <v>821.13</v>
      </c>
      <c r="C7">
        <v>115.77</v>
      </c>
      <c r="D7" s="2">
        <f t="shared" si="0"/>
        <v>0.14098863760914837</v>
      </c>
    </row>
    <row r="8" spans="1:4" x14ac:dyDescent="0.35">
      <c r="A8">
        <v>2013</v>
      </c>
      <c r="B8" s="1">
        <v>770.12</v>
      </c>
      <c r="C8" s="1">
        <v>72.09</v>
      </c>
      <c r="D8" s="2">
        <f t="shared" si="0"/>
        <v>9.3608788240793647E-2</v>
      </c>
    </row>
    <row r="9" spans="1:4" x14ac:dyDescent="0.35">
      <c r="A9">
        <v>2014</v>
      </c>
      <c r="B9" s="1">
        <v>864.41</v>
      </c>
      <c r="C9" s="1">
        <v>75.63</v>
      </c>
      <c r="D9" s="2">
        <f t="shared" si="0"/>
        <v>8.7493203456693008E-2</v>
      </c>
    </row>
    <row r="10" spans="1:4" x14ac:dyDescent="0.35">
      <c r="A10">
        <v>2015</v>
      </c>
      <c r="B10" s="1">
        <v>1126.4100000000001</v>
      </c>
      <c r="C10" s="1">
        <v>91.18</v>
      </c>
      <c r="D10" s="2">
        <f t="shared" si="0"/>
        <v>8.094743477064302E-2</v>
      </c>
    </row>
    <row r="11" spans="1:4" x14ac:dyDescent="0.35">
      <c r="A11">
        <v>2016</v>
      </c>
      <c r="B11" s="1">
        <v>1233.8699999999999</v>
      </c>
      <c r="C11" s="1">
        <v>98.54</v>
      </c>
      <c r="D11" s="2">
        <f t="shared" si="0"/>
        <v>7.9862546297421941E-2</v>
      </c>
    </row>
    <row r="12" spans="1:4" x14ac:dyDescent="0.35">
      <c r="A12">
        <v>2017</v>
      </c>
      <c r="B12" s="1">
        <v>1690.5</v>
      </c>
      <c r="C12">
        <v>111.7</v>
      </c>
      <c r="D12" s="2">
        <f t="shared" si="0"/>
        <v>6.6075125702454898E-2</v>
      </c>
    </row>
    <row r="13" spans="1:4" x14ac:dyDescent="0.35">
      <c r="A13">
        <v>2018</v>
      </c>
      <c r="B13" s="1">
        <v>2132.7199999999998</v>
      </c>
      <c r="C13">
        <v>114.7</v>
      </c>
      <c r="D13" s="2">
        <f t="shared" si="0"/>
        <v>5.3781087062530486E-2</v>
      </c>
    </row>
    <row r="14" spans="1:4" x14ac:dyDescent="0.35">
      <c r="A14">
        <v>2019</v>
      </c>
      <c r="B14" s="1">
        <v>2450.44</v>
      </c>
      <c r="C14">
        <v>139.66999999999999</v>
      </c>
      <c r="D14" s="2">
        <f t="shared" si="0"/>
        <v>5.6997926902923553E-2</v>
      </c>
    </row>
    <row r="15" spans="1:4" x14ac:dyDescent="0.35">
      <c r="A15">
        <v>2020</v>
      </c>
      <c r="B15" s="1">
        <v>2832.43</v>
      </c>
      <c r="C15">
        <v>178.66</v>
      </c>
      <c r="D15" s="2">
        <f t="shared" si="0"/>
        <v>6.3076580886376715E-2</v>
      </c>
    </row>
    <row r="16" spans="1:4" x14ac:dyDescent="0.35">
      <c r="A16">
        <v>2021</v>
      </c>
      <c r="B16" s="1">
        <v>4848.29</v>
      </c>
      <c r="C16">
        <v>284.94</v>
      </c>
      <c r="D16" s="2">
        <f t="shared" si="0"/>
        <v>5.8771236869081679E-2</v>
      </c>
    </row>
    <row r="17" spans="1:4" x14ac:dyDescent="0.35">
      <c r="A17">
        <v>2022</v>
      </c>
      <c r="B17" s="1">
        <v>7762.8</v>
      </c>
      <c r="C17">
        <v>458.23</v>
      </c>
      <c r="D17" s="2">
        <f t="shared" si="0"/>
        <v>5.9028958623177204E-2</v>
      </c>
    </row>
    <row r="18" spans="1:4" x14ac:dyDescent="0.35">
      <c r="A18">
        <v>2023</v>
      </c>
      <c r="B18" s="1">
        <v>11181.03</v>
      </c>
      <c r="C18">
        <v>679.69</v>
      </c>
      <c r="D18" s="2">
        <f t="shared" si="0"/>
        <v>6.0789569476157386E-2</v>
      </c>
    </row>
    <row r="19" spans="1:4" x14ac:dyDescent="0.35">
      <c r="A19">
        <v>2024</v>
      </c>
      <c r="B19" s="1">
        <v>13510.54</v>
      </c>
      <c r="C19" s="1">
        <v>1240.9000000000001</v>
      </c>
      <c r="D19" s="2">
        <f t="shared" si="0"/>
        <v>9.1846809972066248E-2</v>
      </c>
    </row>
    <row r="20" spans="1:4" x14ac:dyDescent="0.35">
      <c r="A20">
        <v>2025</v>
      </c>
      <c r="B20" s="1">
        <v>15433</v>
      </c>
      <c r="C20" s="1">
        <v>1357.54</v>
      </c>
      <c r="D20" s="2">
        <f t="shared" si="0"/>
        <v>8.7963454934231841E-2</v>
      </c>
    </row>
    <row r="21" spans="1:4" x14ac:dyDescent="0.35">
      <c r="A21">
        <v>2026</v>
      </c>
      <c r="B21" s="1">
        <v>14914.44</v>
      </c>
      <c r="C21">
        <v>796.86</v>
      </c>
      <c r="D21" s="2">
        <f t="shared" si="0"/>
        <v>5.3428757633541719E-2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2026-09-06T12:09:16Z</dcterms:created>
  <dcterms:modified xsi:type="dcterms:W3CDTF">2026-10-06T11:08:25Z</dcterms:modified>
</cp:coreProperties>
</file>