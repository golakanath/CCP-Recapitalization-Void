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"/>
    </mc:Choice>
  </mc:AlternateContent>
  <xr:revisionPtr revIDLastSave="0" documentId="8_{111CF164-5895-4142-A009-A2FA487A13FF}" xr6:coauthVersionLast="47" xr6:coauthVersionMax="47" xr10:uidLastSave="{00000000-0000-0000-0000-000000000000}"/>
  <bookViews>
    <workbookView xWindow="-110" yWindow="-110" windowWidth="19420" windowHeight="10300" activeTab="2" xr2:uid="{809B4446-9417-4583-8ACB-6B90C5772557}"/>
  </bookViews>
  <sheets>
    <sheet name="SUMMARY_STAT_K_AVG2Q" sheetId="4" r:id="rId1"/>
    <sheet name="SUMMARY_STAT_k" sheetId="3" r:id="rId2"/>
    <sheet name="ACTUAL_Jun2026_QTRLY" sheetId="1" r:id="rId3"/>
    <sheet name="SGF_K_RATIO_OI_YTDOI" sheetId="5" r:id="rId4"/>
    <sheet name="SGF1_SGF2" sheetId="6" r:id="rId5"/>
    <sheet name="PREDICTED" sheetId="2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" i="5" l="1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" i="5"/>
  <c r="AC31" i="5"/>
  <c r="AC32" i="5"/>
  <c r="AC33" i="5"/>
  <c r="AC35" i="5"/>
  <c r="AB16" i="5"/>
  <c r="AB28" i="5"/>
  <c r="AB30" i="5"/>
  <c r="AA32" i="5"/>
  <c r="Z30" i="5"/>
  <c r="Z31" i="5"/>
  <c r="Z32" i="5"/>
  <c r="Y30" i="5"/>
  <c r="AA31" i="5" s="1"/>
  <c r="Y31" i="5"/>
  <c r="AB31" i="5" s="1"/>
  <c r="Y32" i="5"/>
  <c r="AA33" i="5" s="1"/>
  <c r="Y33" i="5"/>
  <c r="AA34" i="5" s="1"/>
  <c r="Y34" i="5"/>
  <c r="AA35" i="5" s="1"/>
  <c r="Y35" i="5"/>
  <c r="Z35" i="5" s="1"/>
  <c r="X30" i="5"/>
  <c r="X31" i="5"/>
  <c r="X32" i="5"/>
  <c r="X33" i="5"/>
  <c r="X34" i="5"/>
  <c r="X35" i="5"/>
  <c r="W30" i="5"/>
  <c r="W31" i="5"/>
  <c r="W32" i="5"/>
  <c r="W33" i="5"/>
  <c r="AC34" i="5" s="1"/>
  <c r="W34" i="5"/>
  <c r="W35" i="5"/>
  <c r="G4" i="6"/>
  <c r="G5" i="6"/>
  <c r="G6" i="6"/>
  <c r="G7" i="6"/>
  <c r="G8" i="6"/>
  <c r="G9" i="6"/>
  <c r="G3" i="6"/>
  <c r="D4" i="6"/>
  <c r="D5" i="6"/>
  <c r="D6" i="6"/>
  <c r="D7" i="6"/>
  <c r="D8" i="6"/>
  <c r="D9" i="6"/>
  <c r="D3" i="6"/>
  <c r="H30" i="5"/>
  <c r="C30" i="5" s="1"/>
  <c r="H31" i="5"/>
  <c r="H32" i="5"/>
  <c r="H33" i="5"/>
  <c r="H34" i="5"/>
  <c r="H35" i="5"/>
  <c r="H29" i="5"/>
  <c r="E30" i="5"/>
  <c r="E31" i="5"/>
  <c r="E32" i="5"/>
  <c r="E33" i="5"/>
  <c r="E34" i="5"/>
  <c r="E35" i="5"/>
  <c r="E29" i="5"/>
  <c r="M28" i="5"/>
  <c r="L28" i="5"/>
  <c r="K28" i="5"/>
  <c r="J28" i="5"/>
  <c r="I28" i="5"/>
  <c r="H28" i="5"/>
  <c r="T28" i="5" s="1"/>
  <c r="G28" i="5"/>
  <c r="F28" i="5"/>
  <c r="V28" i="5" s="1"/>
  <c r="Y28" i="5" s="1"/>
  <c r="E28" i="5"/>
  <c r="S28" i="5" s="1"/>
  <c r="D28" i="5"/>
  <c r="U28" i="5" s="1"/>
  <c r="X28" i="5" s="1"/>
  <c r="P27" i="5"/>
  <c r="M27" i="5"/>
  <c r="L27" i="5"/>
  <c r="K27" i="5"/>
  <c r="J27" i="5"/>
  <c r="I27" i="5"/>
  <c r="H27" i="5"/>
  <c r="T27" i="5" s="1"/>
  <c r="G27" i="5"/>
  <c r="F27" i="5"/>
  <c r="V27" i="5" s="1"/>
  <c r="E27" i="5"/>
  <c r="N27" i="5" s="1"/>
  <c r="D27" i="5"/>
  <c r="U27" i="5" s="1"/>
  <c r="X27" i="5" s="1"/>
  <c r="V26" i="5"/>
  <c r="M26" i="5"/>
  <c r="L26" i="5"/>
  <c r="K26" i="5"/>
  <c r="J26" i="5"/>
  <c r="I26" i="5"/>
  <c r="H26" i="5"/>
  <c r="T26" i="5" s="1"/>
  <c r="G26" i="5"/>
  <c r="F26" i="5"/>
  <c r="E26" i="5"/>
  <c r="S26" i="5" s="1"/>
  <c r="D26" i="5"/>
  <c r="U26" i="5" s="1"/>
  <c r="X26" i="5" s="1"/>
  <c r="M25" i="5"/>
  <c r="L25" i="5"/>
  <c r="K25" i="5"/>
  <c r="J25" i="5"/>
  <c r="I25" i="5"/>
  <c r="H25" i="5"/>
  <c r="P25" i="5" s="1"/>
  <c r="G25" i="5"/>
  <c r="F25" i="5"/>
  <c r="V25" i="5" s="1"/>
  <c r="E25" i="5"/>
  <c r="N25" i="5" s="1"/>
  <c r="D25" i="5"/>
  <c r="U25" i="5" s="1"/>
  <c r="X25" i="5" s="1"/>
  <c r="M24" i="5"/>
  <c r="L24" i="5"/>
  <c r="K24" i="5"/>
  <c r="J24" i="5"/>
  <c r="I24" i="5"/>
  <c r="H24" i="5"/>
  <c r="T24" i="5" s="1"/>
  <c r="G24" i="5"/>
  <c r="F24" i="5"/>
  <c r="V24" i="5" s="1"/>
  <c r="E24" i="5"/>
  <c r="S24" i="5" s="1"/>
  <c r="D24" i="5"/>
  <c r="U24" i="5" s="1"/>
  <c r="M23" i="5"/>
  <c r="L23" i="5"/>
  <c r="K23" i="5"/>
  <c r="J23" i="5"/>
  <c r="I23" i="5"/>
  <c r="H23" i="5"/>
  <c r="T23" i="5" s="1"/>
  <c r="G23" i="5"/>
  <c r="F23" i="5"/>
  <c r="V23" i="5" s="1"/>
  <c r="Y23" i="5" s="1"/>
  <c r="AB23" i="5" s="1"/>
  <c r="E23" i="5"/>
  <c r="N23" i="5" s="1"/>
  <c r="D23" i="5"/>
  <c r="U23" i="5" s="1"/>
  <c r="M22" i="5"/>
  <c r="L22" i="5"/>
  <c r="K22" i="5"/>
  <c r="J22" i="5"/>
  <c r="I22" i="5"/>
  <c r="H22" i="5"/>
  <c r="T22" i="5" s="1"/>
  <c r="G22" i="5"/>
  <c r="F22" i="5"/>
  <c r="V22" i="5" s="1"/>
  <c r="E22" i="5"/>
  <c r="S22" i="5" s="1"/>
  <c r="D22" i="5"/>
  <c r="U22" i="5" s="1"/>
  <c r="X22" i="5" s="1"/>
  <c r="M21" i="5"/>
  <c r="L21" i="5"/>
  <c r="K21" i="5"/>
  <c r="J21" i="5"/>
  <c r="I21" i="5"/>
  <c r="H21" i="5"/>
  <c r="P21" i="5" s="1"/>
  <c r="G21" i="5"/>
  <c r="F21" i="5"/>
  <c r="V21" i="5" s="1"/>
  <c r="E21" i="5"/>
  <c r="N21" i="5" s="1"/>
  <c r="D21" i="5"/>
  <c r="U21" i="5" s="1"/>
  <c r="X21" i="5" s="1"/>
  <c r="M20" i="5"/>
  <c r="L20" i="5"/>
  <c r="K20" i="5"/>
  <c r="J20" i="5"/>
  <c r="I20" i="5"/>
  <c r="H20" i="5"/>
  <c r="T20" i="5" s="1"/>
  <c r="G20" i="5"/>
  <c r="F20" i="5"/>
  <c r="V20" i="5" s="1"/>
  <c r="Y20" i="5" s="1"/>
  <c r="AB20" i="5" s="1"/>
  <c r="E20" i="5"/>
  <c r="S20" i="5" s="1"/>
  <c r="D20" i="5"/>
  <c r="U20" i="5" s="1"/>
  <c r="X20" i="5" s="1"/>
  <c r="P19" i="5"/>
  <c r="M19" i="5"/>
  <c r="L19" i="5"/>
  <c r="K19" i="5"/>
  <c r="J19" i="5"/>
  <c r="I19" i="5"/>
  <c r="H19" i="5"/>
  <c r="T19" i="5" s="1"/>
  <c r="G19" i="5"/>
  <c r="F19" i="5"/>
  <c r="V19" i="5" s="1"/>
  <c r="Y19" i="5" s="1"/>
  <c r="AB19" i="5" s="1"/>
  <c r="E19" i="5"/>
  <c r="N19" i="5" s="1"/>
  <c r="D19" i="5"/>
  <c r="U19" i="5" s="1"/>
  <c r="X19" i="5" s="1"/>
  <c r="P18" i="5"/>
  <c r="M18" i="5"/>
  <c r="L18" i="5"/>
  <c r="K18" i="5"/>
  <c r="J18" i="5"/>
  <c r="I18" i="5"/>
  <c r="H18" i="5"/>
  <c r="T18" i="5" s="1"/>
  <c r="G18" i="5"/>
  <c r="F18" i="5"/>
  <c r="V18" i="5" s="1"/>
  <c r="E18" i="5"/>
  <c r="S18" i="5" s="1"/>
  <c r="D18" i="5"/>
  <c r="U18" i="5" s="1"/>
  <c r="V17" i="5"/>
  <c r="T17" i="5"/>
  <c r="M17" i="5"/>
  <c r="L17" i="5"/>
  <c r="K17" i="5"/>
  <c r="J17" i="5"/>
  <c r="I17" i="5"/>
  <c r="H17" i="5"/>
  <c r="P17" i="5" s="1"/>
  <c r="G17" i="5"/>
  <c r="F17" i="5"/>
  <c r="E17" i="5"/>
  <c r="N17" i="5" s="1"/>
  <c r="D17" i="5"/>
  <c r="U17" i="5" s="1"/>
  <c r="X17" i="5" s="1"/>
  <c r="V16" i="5"/>
  <c r="Y16" i="5" s="1"/>
  <c r="M16" i="5"/>
  <c r="L16" i="5"/>
  <c r="K16" i="5"/>
  <c r="J16" i="5"/>
  <c r="I16" i="5"/>
  <c r="H16" i="5"/>
  <c r="T16" i="5" s="1"/>
  <c r="G16" i="5"/>
  <c r="F16" i="5"/>
  <c r="E16" i="5"/>
  <c r="S16" i="5" s="1"/>
  <c r="D16" i="5"/>
  <c r="U16" i="5" s="1"/>
  <c r="T15" i="5"/>
  <c r="P15" i="5"/>
  <c r="M15" i="5"/>
  <c r="L15" i="5"/>
  <c r="K15" i="5"/>
  <c r="J15" i="5"/>
  <c r="I15" i="5"/>
  <c r="H15" i="5"/>
  <c r="G15" i="5"/>
  <c r="F15" i="5"/>
  <c r="V15" i="5" s="1"/>
  <c r="E15" i="5"/>
  <c r="N15" i="5" s="1"/>
  <c r="D15" i="5"/>
  <c r="U15" i="5" s="1"/>
  <c r="X15" i="5" s="1"/>
  <c r="T14" i="5"/>
  <c r="M14" i="5"/>
  <c r="L14" i="5"/>
  <c r="K14" i="5"/>
  <c r="J14" i="5"/>
  <c r="I14" i="5"/>
  <c r="H14" i="5"/>
  <c r="P14" i="5" s="1"/>
  <c r="G14" i="5"/>
  <c r="F14" i="5"/>
  <c r="V14" i="5" s="1"/>
  <c r="E14" i="5"/>
  <c r="S14" i="5" s="1"/>
  <c r="D14" i="5"/>
  <c r="U14" i="5" s="1"/>
  <c r="X14" i="5" s="1"/>
  <c r="M13" i="5"/>
  <c r="L13" i="5"/>
  <c r="K13" i="5"/>
  <c r="J13" i="5"/>
  <c r="I13" i="5"/>
  <c r="H13" i="5"/>
  <c r="P13" i="5" s="1"/>
  <c r="G13" i="5"/>
  <c r="F13" i="5"/>
  <c r="V13" i="5" s="1"/>
  <c r="E13" i="5"/>
  <c r="N13" i="5" s="1"/>
  <c r="D13" i="5"/>
  <c r="U13" i="5" s="1"/>
  <c r="M12" i="5"/>
  <c r="L12" i="5"/>
  <c r="K12" i="5"/>
  <c r="J12" i="5"/>
  <c r="I12" i="5"/>
  <c r="H12" i="5"/>
  <c r="T12" i="5" s="1"/>
  <c r="G12" i="5"/>
  <c r="F12" i="5"/>
  <c r="V12" i="5" s="1"/>
  <c r="Y12" i="5" s="1"/>
  <c r="AB12" i="5" s="1"/>
  <c r="E12" i="5"/>
  <c r="S12" i="5" s="1"/>
  <c r="D12" i="5"/>
  <c r="U12" i="5" s="1"/>
  <c r="M11" i="5"/>
  <c r="L11" i="5"/>
  <c r="K11" i="5"/>
  <c r="J11" i="5"/>
  <c r="I11" i="5"/>
  <c r="H11" i="5"/>
  <c r="P11" i="5" s="1"/>
  <c r="G11" i="5"/>
  <c r="F11" i="5"/>
  <c r="V11" i="5" s="1"/>
  <c r="Y11" i="5" s="1"/>
  <c r="AB11" i="5" s="1"/>
  <c r="E11" i="5"/>
  <c r="N11" i="5" s="1"/>
  <c r="D11" i="5"/>
  <c r="U11" i="5" s="1"/>
  <c r="X11" i="5" s="1"/>
  <c r="M10" i="5"/>
  <c r="L10" i="5"/>
  <c r="K10" i="5"/>
  <c r="J10" i="5"/>
  <c r="I10" i="5"/>
  <c r="H10" i="5"/>
  <c r="P10" i="5" s="1"/>
  <c r="G10" i="5"/>
  <c r="F10" i="5"/>
  <c r="V10" i="5" s="1"/>
  <c r="Y10" i="5" s="1"/>
  <c r="AB10" i="5" s="1"/>
  <c r="E10" i="5"/>
  <c r="S10" i="5" s="1"/>
  <c r="D10" i="5"/>
  <c r="U10" i="5" s="1"/>
  <c r="X10" i="5" s="1"/>
  <c r="M9" i="5"/>
  <c r="L9" i="5"/>
  <c r="K9" i="5"/>
  <c r="J9" i="5"/>
  <c r="I9" i="5"/>
  <c r="H9" i="5"/>
  <c r="T9" i="5" s="1"/>
  <c r="G9" i="5"/>
  <c r="F9" i="5"/>
  <c r="V9" i="5" s="1"/>
  <c r="E9" i="5"/>
  <c r="N9" i="5" s="1"/>
  <c r="D9" i="5"/>
  <c r="U9" i="5" s="1"/>
  <c r="X9" i="5" s="1"/>
  <c r="M8" i="5"/>
  <c r="L8" i="5"/>
  <c r="K8" i="5"/>
  <c r="J8" i="5"/>
  <c r="I8" i="5"/>
  <c r="H8" i="5"/>
  <c r="T8" i="5" s="1"/>
  <c r="G8" i="5"/>
  <c r="F8" i="5"/>
  <c r="V8" i="5" s="1"/>
  <c r="E8" i="5"/>
  <c r="S8" i="5" s="1"/>
  <c r="D8" i="5"/>
  <c r="U8" i="5" s="1"/>
  <c r="X8" i="5" s="1"/>
  <c r="M7" i="5"/>
  <c r="L7" i="5"/>
  <c r="K7" i="5"/>
  <c r="J7" i="5"/>
  <c r="I7" i="5"/>
  <c r="H7" i="5"/>
  <c r="T7" i="5" s="1"/>
  <c r="G7" i="5"/>
  <c r="F7" i="5"/>
  <c r="V7" i="5" s="1"/>
  <c r="Y7" i="5" s="1"/>
  <c r="AB7" i="5" s="1"/>
  <c r="E7" i="5"/>
  <c r="N7" i="5" s="1"/>
  <c r="D7" i="5"/>
  <c r="U7" i="5" s="1"/>
  <c r="M6" i="5"/>
  <c r="L6" i="5"/>
  <c r="K6" i="5"/>
  <c r="J6" i="5"/>
  <c r="I6" i="5"/>
  <c r="H6" i="5"/>
  <c r="T6" i="5" s="1"/>
  <c r="G6" i="5"/>
  <c r="F6" i="5"/>
  <c r="V6" i="5" s="1"/>
  <c r="E6" i="5"/>
  <c r="S6" i="5" s="1"/>
  <c r="D6" i="5"/>
  <c r="U6" i="5" s="1"/>
  <c r="M5" i="5"/>
  <c r="L5" i="5"/>
  <c r="K5" i="5"/>
  <c r="J5" i="5"/>
  <c r="I5" i="5"/>
  <c r="H5" i="5"/>
  <c r="T5" i="5" s="1"/>
  <c r="G5" i="5"/>
  <c r="F5" i="5"/>
  <c r="V5" i="5" s="1"/>
  <c r="Y5" i="5" s="1"/>
  <c r="AB5" i="5" s="1"/>
  <c r="E5" i="5"/>
  <c r="N5" i="5" s="1"/>
  <c r="D5" i="5"/>
  <c r="U5" i="5" s="1"/>
  <c r="X5" i="5" s="1"/>
  <c r="M4" i="5"/>
  <c r="L4" i="5"/>
  <c r="K4" i="5"/>
  <c r="J4" i="5"/>
  <c r="I4" i="5"/>
  <c r="H4" i="5"/>
  <c r="T4" i="5" s="1"/>
  <c r="G4" i="5"/>
  <c r="F4" i="5"/>
  <c r="V4" i="5" s="1"/>
  <c r="E4" i="5"/>
  <c r="S4" i="5" s="1"/>
  <c r="D4" i="5"/>
  <c r="U4" i="5" s="1"/>
  <c r="M3" i="5"/>
  <c r="L3" i="5"/>
  <c r="K3" i="5"/>
  <c r="J3" i="5"/>
  <c r="I3" i="5"/>
  <c r="H3" i="5"/>
  <c r="T3" i="5" s="1"/>
  <c r="G3" i="5"/>
  <c r="F3" i="5"/>
  <c r="V3" i="5" s="1"/>
  <c r="E3" i="5"/>
  <c r="S3" i="5" s="1"/>
  <c r="D3" i="5"/>
  <c r="U3" i="5" s="1"/>
  <c r="P28" i="1"/>
  <c r="U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4" i="1"/>
  <c r="O7" i="1"/>
  <c r="O9" i="1"/>
  <c r="O10" i="1"/>
  <c r="O11" i="1"/>
  <c r="O12" i="1"/>
  <c r="O13" i="1"/>
  <c r="O14" i="1"/>
  <c r="O15" i="1"/>
  <c r="O19" i="1"/>
  <c r="O21" i="1"/>
  <c r="O22" i="1"/>
  <c r="O23" i="1"/>
  <c r="O24" i="1"/>
  <c r="O25" i="1"/>
  <c r="O26" i="1"/>
  <c r="O27" i="1"/>
  <c r="T21" i="1"/>
  <c r="S17" i="1"/>
  <c r="S20" i="1"/>
  <c r="R8" i="1"/>
  <c r="R9" i="1"/>
  <c r="R10" i="1"/>
  <c r="Q19" i="1"/>
  <c r="Q20" i="1"/>
  <c r="Q21" i="1"/>
  <c r="M9" i="1"/>
  <c r="M10" i="1"/>
  <c r="M6" i="1"/>
  <c r="M7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L3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" i="1"/>
  <c r="G4" i="1"/>
  <c r="R4" i="1" s="1"/>
  <c r="G5" i="1"/>
  <c r="R5" i="1" s="1"/>
  <c r="G6" i="1"/>
  <c r="R6" i="1" s="1"/>
  <c r="G7" i="1"/>
  <c r="R7" i="1" s="1"/>
  <c r="G8" i="1"/>
  <c r="O8" i="1" s="1"/>
  <c r="G9" i="1"/>
  <c r="G10" i="1"/>
  <c r="G11" i="1"/>
  <c r="R11" i="1" s="1"/>
  <c r="G12" i="1"/>
  <c r="R12" i="1" s="1"/>
  <c r="G13" i="1"/>
  <c r="R13" i="1" s="1"/>
  <c r="G14" i="1"/>
  <c r="R14" i="1" s="1"/>
  <c r="G15" i="1"/>
  <c r="R15" i="1" s="1"/>
  <c r="G16" i="1"/>
  <c r="R16" i="1" s="1"/>
  <c r="G17" i="1"/>
  <c r="R17" i="1" s="1"/>
  <c r="G18" i="1"/>
  <c r="R18" i="1" s="1"/>
  <c r="G19" i="1"/>
  <c r="R19" i="1" s="1"/>
  <c r="G20" i="1"/>
  <c r="R20" i="1" s="1"/>
  <c r="G21" i="1"/>
  <c r="R21" i="1" s="1"/>
  <c r="G22" i="1"/>
  <c r="R22" i="1" s="1"/>
  <c r="G23" i="1"/>
  <c r="R23" i="1" s="1"/>
  <c r="G24" i="1"/>
  <c r="R24" i="1" s="1"/>
  <c r="G25" i="1"/>
  <c r="R25" i="1" s="1"/>
  <c r="G26" i="1"/>
  <c r="R26" i="1" s="1"/>
  <c r="G27" i="1"/>
  <c r="R27" i="1" s="1"/>
  <c r="G28" i="1"/>
  <c r="R28" i="1" s="1"/>
  <c r="G3" i="1"/>
  <c r="R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3" i="1"/>
  <c r="E4" i="1"/>
  <c r="T4" i="1" s="1"/>
  <c r="E5" i="1"/>
  <c r="T5" i="1" s="1"/>
  <c r="E6" i="1"/>
  <c r="T6" i="1" s="1"/>
  <c r="E7" i="1"/>
  <c r="T7" i="1" s="1"/>
  <c r="E8" i="1"/>
  <c r="T8" i="1" s="1"/>
  <c r="E9" i="1"/>
  <c r="T9" i="1" s="1"/>
  <c r="E10" i="1"/>
  <c r="T10" i="1" s="1"/>
  <c r="E11" i="1"/>
  <c r="T11" i="1" s="1"/>
  <c r="E12" i="1"/>
  <c r="T12" i="1" s="1"/>
  <c r="E13" i="1"/>
  <c r="T13" i="1" s="1"/>
  <c r="E14" i="1"/>
  <c r="T14" i="1" s="1"/>
  <c r="E15" i="1"/>
  <c r="T15" i="1" s="1"/>
  <c r="E16" i="1"/>
  <c r="T16" i="1" s="1"/>
  <c r="E17" i="1"/>
  <c r="T17" i="1" s="1"/>
  <c r="E18" i="1"/>
  <c r="T18" i="1" s="1"/>
  <c r="E19" i="1"/>
  <c r="T19" i="1" s="1"/>
  <c r="E20" i="1"/>
  <c r="T20" i="1" s="1"/>
  <c r="E21" i="1"/>
  <c r="E22" i="1"/>
  <c r="T22" i="1" s="1"/>
  <c r="E23" i="1"/>
  <c r="T23" i="1" s="1"/>
  <c r="E24" i="1"/>
  <c r="T24" i="1" s="1"/>
  <c r="E25" i="1"/>
  <c r="T25" i="1" s="1"/>
  <c r="E26" i="1"/>
  <c r="T26" i="1" s="1"/>
  <c r="E27" i="1"/>
  <c r="T27" i="1" s="1"/>
  <c r="E28" i="1"/>
  <c r="T28" i="1" s="1"/>
  <c r="E3" i="1"/>
  <c r="T3" i="1" s="1"/>
  <c r="D4" i="1"/>
  <c r="M4" i="1" s="1"/>
  <c r="D5" i="1"/>
  <c r="Q5" i="1" s="1"/>
  <c r="D6" i="1"/>
  <c r="Q6" i="1" s="1"/>
  <c r="D7" i="1"/>
  <c r="Q7" i="1" s="1"/>
  <c r="D8" i="1"/>
  <c r="Q8" i="1" s="1"/>
  <c r="D9" i="1"/>
  <c r="Q9" i="1" s="1"/>
  <c r="D10" i="1"/>
  <c r="Q10" i="1" s="1"/>
  <c r="D11" i="1"/>
  <c r="Q11" i="1" s="1"/>
  <c r="D12" i="1"/>
  <c r="Q12" i="1" s="1"/>
  <c r="D13" i="1"/>
  <c r="M13" i="1" s="1"/>
  <c r="D14" i="1"/>
  <c r="M14" i="1" s="1"/>
  <c r="N15" i="1" s="1"/>
  <c r="D15" i="1"/>
  <c r="M15" i="1" s="1"/>
  <c r="N16" i="1" s="1"/>
  <c r="D16" i="1"/>
  <c r="M16" i="1" s="1"/>
  <c r="D17" i="1"/>
  <c r="Q17" i="1" s="1"/>
  <c r="D18" i="1"/>
  <c r="M18" i="1" s="1"/>
  <c r="D19" i="1"/>
  <c r="M19" i="1" s="1"/>
  <c r="D20" i="1"/>
  <c r="M20" i="1" s="1"/>
  <c r="D21" i="1"/>
  <c r="M21" i="1" s="1"/>
  <c r="D22" i="1"/>
  <c r="Q22" i="1" s="1"/>
  <c r="D23" i="1"/>
  <c r="Q23" i="1" s="1"/>
  <c r="D24" i="1"/>
  <c r="Q24" i="1" s="1"/>
  <c r="D25" i="1"/>
  <c r="M25" i="1" s="1"/>
  <c r="D26" i="1"/>
  <c r="M26" i="1" s="1"/>
  <c r="N27" i="1" s="1"/>
  <c r="D27" i="1"/>
  <c r="M27" i="1" s="1"/>
  <c r="N28" i="1" s="1"/>
  <c r="D28" i="1"/>
  <c r="M28" i="1" s="1"/>
  <c r="D3" i="1"/>
  <c r="Q3" i="1" s="1"/>
  <c r="C4" i="1"/>
  <c r="S4" i="1" s="1"/>
  <c r="C5" i="1"/>
  <c r="S5" i="1" s="1"/>
  <c r="C6" i="1"/>
  <c r="S6" i="1" s="1"/>
  <c r="C7" i="1"/>
  <c r="S7" i="1" s="1"/>
  <c r="C8" i="1"/>
  <c r="S8" i="1" s="1"/>
  <c r="C9" i="1"/>
  <c r="S9" i="1" s="1"/>
  <c r="C10" i="1"/>
  <c r="S10" i="1" s="1"/>
  <c r="C11" i="1"/>
  <c r="S11" i="1" s="1"/>
  <c r="C12" i="1"/>
  <c r="S12" i="1" s="1"/>
  <c r="C13" i="1"/>
  <c r="S13" i="1" s="1"/>
  <c r="C14" i="1"/>
  <c r="S14" i="1" s="1"/>
  <c r="C15" i="1"/>
  <c r="S15" i="1" s="1"/>
  <c r="C16" i="1"/>
  <c r="S16" i="1" s="1"/>
  <c r="C17" i="1"/>
  <c r="C18" i="1"/>
  <c r="S18" i="1" s="1"/>
  <c r="C19" i="1"/>
  <c r="S19" i="1" s="1"/>
  <c r="C20" i="1"/>
  <c r="C21" i="1"/>
  <c r="S21" i="1" s="1"/>
  <c r="C22" i="1"/>
  <c r="S22" i="1" s="1"/>
  <c r="C23" i="1"/>
  <c r="S23" i="1" s="1"/>
  <c r="C24" i="1"/>
  <c r="S24" i="1" s="1"/>
  <c r="C25" i="1"/>
  <c r="S25" i="1" s="1"/>
  <c r="C26" i="1"/>
  <c r="S26" i="1" s="1"/>
  <c r="C27" i="1"/>
  <c r="S27" i="1" s="1"/>
  <c r="C28" i="1"/>
  <c r="S28" i="1" s="1"/>
  <c r="C3" i="1"/>
  <c r="S3" i="1" s="1"/>
  <c r="AB34" i="5" l="1"/>
  <c r="P6" i="5"/>
  <c r="Q11" i="5"/>
  <c r="AB33" i="5"/>
  <c r="P5" i="5"/>
  <c r="Q6" i="5" s="1"/>
  <c r="X7" i="5"/>
  <c r="Y15" i="5"/>
  <c r="AB15" i="5" s="1"/>
  <c r="X24" i="5"/>
  <c r="Y25" i="5"/>
  <c r="AB25" i="5" s="1"/>
  <c r="AB32" i="5"/>
  <c r="Y18" i="5"/>
  <c r="AB18" i="5" s="1"/>
  <c r="N3" i="5"/>
  <c r="P4" i="5"/>
  <c r="Q5" i="5" s="1"/>
  <c r="X6" i="5"/>
  <c r="Y8" i="5"/>
  <c r="AB8" i="5" s="1"/>
  <c r="X13" i="5"/>
  <c r="Y14" i="5"/>
  <c r="AB14" i="5" s="1"/>
  <c r="Q18" i="5"/>
  <c r="Y4" i="5"/>
  <c r="AB4" i="5" s="1"/>
  <c r="Y22" i="5"/>
  <c r="AB22" i="5" s="1"/>
  <c r="Q19" i="5"/>
  <c r="Y17" i="5"/>
  <c r="AB17" i="5" s="1"/>
  <c r="X18" i="5"/>
  <c r="Y27" i="5"/>
  <c r="AB27" i="5" s="1"/>
  <c r="AB35" i="5"/>
  <c r="P7" i="5"/>
  <c r="X16" i="5"/>
  <c r="X23" i="5"/>
  <c r="Y24" i="5"/>
  <c r="AB24" i="5" s="1"/>
  <c r="Z34" i="5"/>
  <c r="X4" i="5"/>
  <c r="Y6" i="5"/>
  <c r="AB6" i="5" s="1"/>
  <c r="X12" i="5"/>
  <c r="Y13" i="5"/>
  <c r="AB13" i="5" s="1"/>
  <c r="Q15" i="5"/>
  <c r="Z33" i="5"/>
  <c r="Z28" i="5"/>
  <c r="AA29" i="5"/>
  <c r="Z10" i="5"/>
  <c r="AA11" i="5"/>
  <c r="AA21" i="5"/>
  <c r="Z20" i="5"/>
  <c r="W26" i="5"/>
  <c r="AC27" i="5" s="1"/>
  <c r="Z27" i="5"/>
  <c r="AA20" i="5"/>
  <c r="Z19" i="5"/>
  <c r="Y9" i="5"/>
  <c r="AB9" i="5" s="1"/>
  <c r="AA26" i="5"/>
  <c r="Z16" i="5"/>
  <c r="AA17" i="5"/>
  <c r="AA18" i="5"/>
  <c r="Z17" i="5"/>
  <c r="AA9" i="5"/>
  <c r="Z14" i="5"/>
  <c r="AA15" i="5"/>
  <c r="AA8" i="5"/>
  <c r="Z7" i="5"/>
  <c r="Z24" i="5"/>
  <c r="AA25" i="5"/>
  <c r="AA7" i="5"/>
  <c r="Z6" i="5"/>
  <c r="Y21" i="5"/>
  <c r="AB21" i="5" s="1"/>
  <c r="AA6" i="5"/>
  <c r="Z5" i="5"/>
  <c r="Z23" i="5"/>
  <c r="AA24" i="5"/>
  <c r="Z4" i="5"/>
  <c r="AA5" i="5"/>
  <c r="Z12" i="5"/>
  <c r="AA13" i="5"/>
  <c r="Y26" i="5"/>
  <c r="AB26" i="5" s="1"/>
  <c r="Z11" i="5"/>
  <c r="AA12" i="5"/>
  <c r="X29" i="5"/>
  <c r="T25" i="5"/>
  <c r="P26" i="5"/>
  <c r="Q27" i="5" s="1"/>
  <c r="T13" i="5"/>
  <c r="W29" i="5"/>
  <c r="AC30" i="5" s="1"/>
  <c r="P16" i="5"/>
  <c r="Q17" i="5" s="1"/>
  <c r="Y29" i="5"/>
  <c r="AB29" i="5" s="1"/>
  <c r="Q14" i="5"/>
  <c r="W4" i="5"/>
  <c r="AC5" i="5" s="1"/>
  <c r="P8" i="5"/>
  <c r="Q9" i="5" s="1"/>
  <c r="P20" i="5"/>
  <c r="Q21" i="5" s="1"/>
  <c r="T21" i="5"/>
  <c r="P22" i="5"/>
  <c r="Q22" i="5" s="1"/>
  <c r="T10" i="5"/>
  <c r="P23" i="5"/>
  <c r="T11" i="5"/>
  <c r="P12" i="5"/>
  <c r="Q13" i="5" s="1"/>
  <c r="P24" i="5"/>
  <c r="Q25" i="5" s="1"/>
  <c r="P9" i="5"/>
  <c r="Q10" i="5" s="1"/>
  <c r="S27" i="5"/>
  <c r="W27" i="5" s="1"/>
  <c r="AC28" i="5" s="1"/>
  <c r="P3" i="5"/>
  <c r="S5" i="5"/>
  <c r="W5" i="5" s="1"/>
  <c r="AC6" i="5" s="1"/>
  <c r="S7" i="5"/>
  <c r="W7" i="5" s="1"/>
  <c r="AC8" i="5" s="1"/>
  <c r="S9" i="5"/>
  <c r="W9" i="5" s="1"/>
  <c r="AC10" i="5" s="1"/>
  <c r="S11" i="5"/>
  <c r="W11" i="5" s="1"/>
  <c r="AC12" i="5" s="1"/>
  <c r="S13" i="5"/>
  <c r="W13" i="5" s="1"/>
  <c r="AC14" i="5" s="1"/>
  <c r="S15" i="5"/>
  <c r="W15" i="5" s="1"/>
  <c r="AC16" i="5" s="1"/>
  <c r="S17" i="5"/>
  <c r="W17" i="5" s="1"/>
  <c r="AC18" i="5" s="1"/>
  <c r="S19" i="5"/>
  <c r="W19" i="5" s="1"/>
  <c r="AC20" i="5" s="1"/>
  <c r="S21" i="5"/>
  <c r="W21" i="5" s="1"/>
  <c r="AC22" i="5" s="1"/>
  <c r="S23" i="5"/>
  <c r="W23" i="5" s="1"/>
  <c r="AC24" i="5" s="1"/>
  <c r="S25" i="5"/>
  <c r="W25" i="5" s="1"/>
  <c r="AC26" i="5" s="1"/>
  <c r="N4" i="5"/>
  <c r="O5" i="5" s="1"/>
  <c r="N6" i="5"/>
  <c r="O7" i="5" s="1"/>
  <c r="N8" i="5"/>
  <c r="O9" i="5" s="1"/>
  <c r="N10" i="5"/>
  <c r="O11" i="5" s="1"/>
  <c r="N12" i="5"/>
  <c r="O13" i="5" s="1"/>
  <c r="N14" i="5"/>
  <c r="O15" i="5" s="1"/>
  <c r="N16" i="5"/>
  <c r="O17" i="5" s="1"/>
  <c r="N18" i="5"/>
  <c r="O19" i="5" s="1"/>
  <c r="N20" i="5"/>
  <c r="O21" i="5" s="1"/>
  <c r="N22" i="5"/>
  <c r="O23" i="5" s="1"/>
  <c r="N24" i="5"/>
  <c r="O25" i="5" s="1"/>
  <c r="N26" i="5"/>
  <c r="O27" i="5" s="1"/>
  <c r="N28" i="5"/>
  <c r="O28" i="5" s="1"/>
  <c r="B29" i="5" s="1"/>
  <c r="P28" i="5"/>
  <c r="Q28" i="5" s="1"/>
  <c r="C29" i="5" s="1"/>
  <c r="N14" i="1"/>
  <c r="N7" i="1"/>
  <c r="N10" i="1"/>
  <c r="N21" i="1"/>
  <c r="Q18" i="1"/>
  <c r="O20" i="1"/>
  <c r="N26" i="1"/>
  <c r="O18" i="1"/>
  <c r="O6" i="1"/>
  <c r="O3" i="1"/>
  <c r="O17" i="1"/>
  <c r="O5" i="1"/>
  <c r="M8" i="1"/>
  <c r="N9" i="1" s="1"/>
  <c r="O28" i="1"/>
  <c r="O16" i="1"/>
  <c r="O4" i="1"/>
  <c r="N20" i="1"/>
  <c r="N19" i="1"/>
  <c r="M24" i="1"/>
  <c r="N25" i="1" s="1"/>
  <c r="M23" i="1"/>
  <c r="N24" i="1" s="1"/>
  <c r="M22" i="1"/>
  <c r="N22" i="1" s="1"/>
  <c r="M12" i="1"/>
  <c r="N13" i="1" s="1"/>
  <c r="M11" i="1"/>
  <c r="M3" i="1"/>
  <c r="N4" i="1" s="1"/>
  <c r="Q28" i="1"/>
  <c r="Q16" i="1"/>
  <c r="Q4" i="1"/>
  <c r="M5" i="1"/>
  <c r="N6" i="1" s="1"/>
  <c r="Q27" i="1"/>
  <c r="Q15" i="1"/>
  <c r="M17" i="1"/>
  <c r="N18" i="1" s="1"/>
  <c r="Q26" i="1"/>
  <c r="Q14" i="1"/>
  <c r="Q25" i="1"/>
  <c r="Q13" i="1"/>
  <c r="W12" i="5" l="1"/>
  <c r="AC13" i="5" s="1"/>
  <c r="AA19" i="5"/>
  <c r="Z25" i="5"/>
  <c r="Z18" i="5"/>
  <c r="Z8" i="5"/>
  <c r="Q4" i="5"/>
  <c r="AA23" i="5"/>
  <c r="Z22" i="5"/>
  <c r="AA14" i="5"/>
  <c r="AA16" i="5"/>
  <c r="W22" i="5"/>
  <c r="AC23" i="5" s="1"/>
  <c r="Z13" i="5"/>
  <c r="Z15" i="5"/>
  <c r="AA28" i="5"/>
  <c r="Q7" i="5"/>
  <c r="N29" i="5"/>
  <c r="B30" i="5" s="1"/>
  <c r="P29" i="5"/>
  <c r="W6" i="5"/>
  <c r="AC7" i="5" s="1"/>
  <c r="Q26" i="5"/>
  <c r="Z26" i="5"/>
  <c r="AA27" i="5"/>
  <c r="W24" i="5"/>
  <c r="AC25" i="5" s="1"/>
  <c r="W18" i="5"/>
  <c r="AC19" i="5" s="1"/>
  <c r="AA30" i="5"/>
  <c r="Z29" i="5"/>
  <c r="W10" i="5"/>
  <c r="AC11" i="5" s="1"/>
  <c r="Q16" i="5"/>
  <c r="W14" i="5"/>
  <c r="AC15" i="5" s="1"/>
  <c r="W8" i="5"/>
  <c r="AC9" i="5" s="1"/>
  <c r="W16" i="5"/>
  <c r="AC17" i="5" s="1"/>
  <c r="AA22" i="5"/>
  <c r="Z21" i="5"/>
  <c r="Q20" i="5"/>
  <c r="Q12" i="5"/>
  <c r="W28" i="5"/>
  <c r="AC29" i="5" s="1"/>
  <c r="W20" i="5"/>
  <c r="AC21" i="5" s="1"/>
  <c r="AA10" i="5"/>
  <c r="Z9" i="5"/>
  <c r="B31" i="5"/>
  <c r="C31" i="5"/>
  <c r="Q24" i="5"/>
  <c r="O8" i="5"/>
  <c r="Q23" i="5"/>
  <c r="O6" i="5"/>
  <c r="O4" i="5"/>
  <c r="O26" i="5"/>
  <c r="Q8" i="5"/>
  <c r="O20" i="5"/>
  <c r="O18" i="5"/>
  <c r="O16" i="5"/>
  <c r="O14" i="5"/>
  <c r="O22" i="5"/>
  <c r="O24" i="5"/>
  <c r="O10" i="5"/>
  <c r="O12" i="5"/>
  <c r="N12" i="1"/>
  <c r="N8" i="1"/>
  <c r="N23" i="1"/>
  <c r="N11" i="1"/>
  <c r="N5" i="1"/>
  <c r="N17" i="1"/>
  <c r="N30" i="5" l="1"/>
  <c r="P30" i="5"/>
  <c r="P31" i="5"/>
  <c r="N31" i="5"/>
  <c r="B32" i="5" l="1"/>
  <c r="C32" i="5"/>
  <c r="N32" i="5" l="1"/>
  <c r="P32" i="5"/>
  <c r="C33" i="5" l="1"/>
  <c r="B33" i="5"/>
  <c r="N33" i="5" l="1"/>
  <c r="P33" i="5"/>
  <c r="B34" i="5" l="1"/>
  <c r="C34" i="5"/>
  <c r="N34" i="5" l="1"/>
  <c r="P34" i="5"/>
  <c r="C35" i="5" l="1"/>
  <c r="B35" i="5"/>
  <c r="N35" i="5" l="1"/>
  <c r="P35" i="5"/>
</calcChain>
</file>

<file path=xl/sharedStrings.xml><?xml version="1.0" encoding="utf-8"?>
<sst xmlns="http://schemas.openxmlformats.org/spreadsheetml/2006/main" count="91" uniqueCount="48">
  <si>
    <t>MONTHYR</t>
  </si>
  <si>
    <t>SGF</t>
  </si>
  <si>
    <t>CM</t>
  </si>
  <si>
    <t>OI</t>
  </si>
  <si>
    <t>VIX</t>
  </si>
  <si>
    <t>FO</t>
  </si>
  <si>
    <t>YTDOI</t>
  </si>
  <si>
    <t>YTDVIX</t>
  </si>
  <si>
    <t>YTDFO</t>
  </si>
  <si>
    <t>YTDCM</t>
  </si>
  <si>
    <t>LSGF</t>
  </si>
  <si>
    <t>LAGLSGF</t>
  </si>
  <si>
    <t>k</t>
  </si>
  <si>
    <t>LYTDOI</t>
  </si>
  <si>
    <t>LCM</t>
  </si>
  <si>
    <t>LVIX</t>
  </si>
  <si>
    <t>LOI</t>
  </si>
  <si>
    <t>K-Pred</t>
  </si>
  <si>
    <t>K-Pred_YTD</t>
  </si>
  <si>
    <t>K-Pred1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</si>
  <si>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</si>
  <si>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</si>
  <si>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</si>
  <si>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</si>
  <si>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</si>
  <si>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</si>
  <si>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</si>
  <si>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</si>
  <si>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</si>
  <si>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</si>
  <si>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</si>
  <si>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</si>
  <si>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</si>
  <si>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</si>
  <si>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DOI</t>
  </si>
  <si>
    <t>SGF1</t>
  </si>
  <si>
    <t>SGF2</t>
  </si>
  <si>
    <t>Month</t>
  </si>
  <si>
    <t>SPOTOI</t>
  </si>
  <si>
    <t>Applied K (AVG of June &amp; Mar 26 -  COL N &amp; O)</t>
  </si>
  <si>
    <t>Applied K (AVG of June &amp; Mar 26 - COL P &amp; Q)</t>
  </si>
  <si>
    <t>DCM</t>
  </si>
  <si>
    <t>DVIX</t>
  </si>
  <si>
    <t>DVIXSQ</t>
  </si>
  <si>
    <t>DVIX_Lag1</t>
  </si>
  <si>
    <t>DOI_Lag1</t>
  </si>
  <si>
    <t>DVIXPOS</t>
  </si>
  <si>
    <t>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</si>
</sst>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7" fontId="0" fillId="0" borderId="0" xfId="0" applyNumberFormat="1"/>
    <xf numFmtId="1" fontId="2" fillId="0" borderId="0" xfId="0" applyNumberFormat="1" applyFont="1"/>
    <xf numFmtId="1" fontId="3" fillId="0" borderId="0" xfId="0" applyNumberFormat="1" applyFont="1"/>
    <xf numFmtId="1" fontId="2" fillId="2" borderId="0" xfId="0" applyNumberFormat="1" applyFont="1" applyFill="1"/>
    <xf numFmtId="1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0" fontId="0" fillId="0" borderId="1" xfId="0" applyBorder="1"/>
    <xf numFmtId="0" fontId="0" fillId="0" borderId="3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per_data_granular.xls" TargetMode="External"/><Relationship Id="rId2" Type="http://schemas.openxmlformats.org/officeDocument/2006/relationships/externalLinkPath" Target="file:///C:\data\Paper_data_granular.xls" TargetMode="External"/><Relationship Id="rId1" Type="http://schemas.openxmlformats.org/officeDocument/2006/relationships/externalLinkPath" Target="/data/Paper_data_gran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M_VOL_DAILY"/>
      <sheetName val="CM_MDA"/>
      <sheetName val="Outlier_Dates"/>
      <sheetName val="FO_VOL_DAILY"/>
      <sheetName val="FO_MDA"/>
      <sheetName val="VIX_DAILY"/>
      <sheetName val="VIX_MDA"/>
      <sheetName val="OI_FULL_DAILY"/>
      <sheetName val="OI_MDA"/>
      <sheetName val="ALL_DATA_MDA"/>
      <sheetName val="OI_ACTUAL_PRED_MARCH2028"/>
    </sheetNames>
    <sheetDataSet>
      <sheetData sheetId="0" refreshError="1"/>
      <sheetData sheetId="1">
        <row r="2">
          <cell r="A2">
            <v>43831</v>
          </cell>
        </row>
      </sheetData>
      <sheetData sheetId="2" refreshError="1"/>
      <sheetData sheetId="3" refreshError="1"/>
      <sheetData sheetId="4">
        <row r="1">
          <cell r="A1" t="str">
            <v>Month</v>
          </cell>
        </row>
      </sheetData>
      <sheetData sheetId="5" refreshError="1"/>
      <sheetData sheetId="6">
        <row r="2">
          <cell r="A2">
            <v>43831</v>
          </cell>
        </row>
      </sheetData>
      <sheetData sheetId="7" refreshError="1"/>
      <sheetData sheetId="8" refreshError="1"/>
      <sheetData sheetId="9">
        <row r="1">
          <cell r="A1" t="str">
            <v>Month</v>
          </cell>
          <cell r="B1" t="str">
            <v>OI</v>
          </cell>
          <cell r="C1" t="str">
            <v>VIX</v>
          </cell>
          <cell r="D1" t="str">
            <v>FO</v>
          </cell>
        </row>
        <row r="2">
          <cell r="A2">
            <v>43831</v>
          </cell>
          <cell r="B2">
            <v>373489.29355141608</v>
          </cell>
          <cell r="C2">
            <v>14.942826086956524</v>
          </cell>
          <cell r="D2">
            <v>1669427.7019146185</v>
          </cell>
          <cell r="E2">
            <v>39228.403000961269</v>
          </cell>
        </row>
        <row r="3">
          <cell r="A3">
            <v>43862</v>
          </cell>
          <cell r="B3">
            <v>371907.41954055778</v>
          </cell>
          <cell r="C3">
            <v>15.359874999999999</v>
          </cell>
          <cell r="D3">
            <v>1734469.1059075962</v>
          </cell>
          <cell r="E3">
            <v>44842.21757154345</v>
          </cell>
        </row>
        <row r="4">
          <cell r="A4">
            <v>43891</v>
          </cell>
          <cell r="B4">
            <v>253346.42920749786</v>
          </cell>
          <cell r="C4">
            <v>53.063571428571429</v>
          </cell>
          <cell r="D4">
            <v>1146922.9819347807</v>
          </cell>
          <cell r="E4">
            <v>54055.465787908099</v>
          </cell>
          <cell r="F4">
            <v>332914.38076649059</v>
          </cell>
          <cell r="G4">
            <v>27.788757505175983</v>
          </cell>
          <cell r="H4">
            <v>1516939.9299189982</v>
          </cell>
          <cell r="I4">
            <v>46042.028786804272</v>
          </cell>
        </row>
        <row r="5">
          <cell r="A5">
            <v>43922</v>
          </cell>
          <cell r="B5">
            <v>203234.81460202721</v>
          </cell>
          <cell r="C5">
            <v>45.003749999999997</v>
          </cell>
          <cell r="D5">
            <v>1146722.3093508345</v>
          </cell>
          <cell r="E5">
            <v>54843.583387659724</v>
          </cell>
        </row>
        <row r="6">
          <cell r="A6">
            <v>43952</v>
          </cell>
          <cell r="B6">
            <v>226116.48576280268</v>
          </cell>
          <cell r="C6">
            <v>36.982105263157905</v>
          </cell>
          <cell r="D6">
            <v>1297466.2525919902</v>
          </cell>
          <cell r="E6">
            <v>57982.876212998541</v>
          </cell>
        </row>
        <row r="7">
          <cell r="A7">
            <v>43983</v>
          </cell>
          <cell r="B7">
            <v>301287.16546886868</v>
          </cell>
          <cell r="C7">
            <v>30.23761363636363</v>
          </cell>
          <cell r="D7">
            <v>1659105.303242442</v>
          </cell>
          <cell r="E7">
            <v>68303.041348210216</v>
          </cell>
          <cell r="F7">
            <v>243546.15527789955</v>
          </cell>
          <cell r="G7">
            <v>37.407822966507176</v>
          </cell>
          <cell r="H7">
            <v>1367764.6217284221</v>
          </cell>
          <cell r="I7">
            <v>60376.500316289494</v>
          </cell>
        </row>
        <row r="8">
          <cell r="A8">
            <v>44013</v>
          </cell>
          <cell r="B8">
            <v>361922.7762285879</v>
          </cell>
          <cell r="C8">
            <v>25.184347826086952</v>
          </cell>
          <cell r="D8">
            <v>1926082.0507376434</v>
          </cell>
          <cell r="E8">
            <v>64899.829146342876</v>
          </cell>
        </row>
        <row r="9">
          <cell r="A9">
            <v>44044</v>
          </cell>
          <cell r="B9">
            <v>373702.61054675624</v>
          </cell>
          <cell r="C9">
            <v>21.210714285714285</v>
          </cell>
          <cell r="D9">
            <v>1957567.0903249187</v>
          </cell>
          <cell r="E9">
            <v>68970.279006729761</v>
          </cell>
        </row>
        <row r="10">
          <cell r="A10">
            <v>44075</v>
          </cell>
          <cell r="B10">
            <v>384403.1781930271</v>
          </cell>
          <cell r="C10">
            <v>21.078977272727272</v>
          </cell>
          <cell r="D10">
            <v>2256927.5546008139</v>
          </cell>
          <cell r="E10">
            <v>61206.861545954293</v>
          </cell>
          <cell r="F10">
            <v>308444.50513367832</v>
          </cell>
          <cell r="G10">
            <v>29.949584714008342</v>
          </cell>
          <cell r="H10">
            <v>1707311.7601414404</v>
          </cell>
          <cell r="I10">
            <v>62701.078441315905</v>
          </cell>
        </row>
        <row r="11">
          <cell r="A11">
            <v>44105</v>
          </cell>
          <cell r="B11">
            <v>418375.863782659</v>
          </cell>
          <cell r="C11">
            <v>21.5825</v>
          </cell>
          <cell r="D11">
            <v>2783775.8346848632</v>
          </cell>
          <cell r="E11">
            <v>57077.374406288996</v>
          </cell>
        </row>
        <row r="12">
          <cell r="A12">
            <v>44136</v>
          </cell>
          <cell r="B12">
            <v>455040.67858878832</v>
          </cell>
          <cell r="C12">
            <v>21.011000000000003</v>
          </cell>
          <cell r="D12">
            <v>3219513.399689442</v>
          </cell>
          <cell r="E12">
            <v>76345.746174319298</v>
          </cell>
        </row>
        <row r="13">
          <cell r="A13">
            <v>44166</v>
          </cell>
          <cell r="B13">
            <v>518439.09354047594</v>
          </cell>
          <cell r="C13">
            <v>19.771363636363638</v>
          </cell>
          <cell r="D13">
            <v>3283623.53670893</v>
          </cell>
          <cell r="E13">
            <v>70513.135366875969</v>
          </cell>
          <cell r="F13">
            <v>360280.29630155477</v>
          </cell>
          <cell r="G13">
            <v>26.895819102268192</v>
          </cell>
          <cell r="H13">
            <v>2170087.0368813197</v>
          </cell>
          <cell r="I13">
            <v>64460.302955042185</v>
          </cell>
        </row>
        <row r="14">
          <cell r="A14">
            <v>44197</v>
          </cell>
          <cell r="B14">
            <v>541252.8650063111</v>
          </cell>
          <cell r="C14">
            <v>22.428750000000001</v>
          </cell>
          <cell r="D14">
            <v>3812872.9766921201</v>
          </cell>
          <cell r="E14">
            <v>81252.205165129955</v>
          </cell>
        </row>
        <row r="15">
          <cell r="A15">
            <v>44228</v>
          </cell>
          <cell r="B15">
            <v>592710.2257869778</v>
          </cell>
          <cell r="C15">
            <v>23.483625000000011</v>
          </cell>
          <cell r="D15">
            <v>4590800.2241419386</v>
          </cell>
          <cell r="E15">
            <v>91882.088065824195</v>
          </cell>
        </row>
        <row r="16">
          <cell r="A16">
            <v>44256</v>
          </cell>
          <cell r="B16">
            <v>586615.22087879712</v>
          </cell>
          <cell r="C16">
            <v>21.931071428571425</v>
          </cell>
          <cell r="D16">
            <v>4688695.3129239017</v>
          </cell>
          <cell r="E16">
            <v>75693.326357939091</v>
          </cell>
          <cell r="F16">
            <v>413591.74819883984</v>
          </cell>
          <cell r="G16">
            <v>25.825484862415433</v>
          </cell>
          <cell r="H16">
            <v>2718595.9871408199</v>
          </cell>
          <cell r="I16">
            <v>69080.862182022742</v>
          </cell>
        </row>
        <row r="17">
          <cell r="A17">
            <v>44287</v>
          </cell>
          <cell r="B17">
            <v>563253.45711717219</v>
          </cell>
          <cell r="C17">
            <v>21.749999999999996</v>
          </cell>
          <cell r="D17">
            <v>4948265.4716743501</v>
          </cell>
          <cell r="E17">
            <v>77779.68738202368</v>
          </cell>
        </row>
        <row r="18">
          <cell r="A18">
            <v>44317</v>
          </cell>
          <cell r="B18">
            <v>633396.28716006991</v>
          </cell>
          <cell r="C18">
            <v>20.093249999999998</v>
          </cell>
          <cell r="D18">
            <v>4634663.4729028316</v>
          </cell>
          <cell r="E18">
            <v>88363.166057468145</v>
          </cell>
        </row>
        <row r="19">
          <cell r="A19">
            <v>44348</v>
          </cell>
          <cell r="B19">
            <v>691393.39530246658</v>
          </cell>
          <cell r="C19">
            <v>14.921818181818184</v>
          </cell>
          <cell r="D19">
            <v>4894655.0352812726</v>
          </cell>
          <cell r="E19">
            <v>81098.218206319536</v>
          </cell>
          <cell r="F19">
            <v>629347.71319323627</v>
          </cell>
          <cell r="G19">
            <v>18.921689393939392</v>
          </cell>
          <cell r="H19">
            <v>4825861.3266194845</v>
          </cell>
          <cell r="I19">
            <v>82413.690548603787</v>
          </cell>
        </row>
        <row r="20">
          <cell r="A20">
            <v>44378</v>
          </cell>
          <cell r="B20">
            <v>739625.66055833455</v>
          </cell>
          <cell r="C20">
            <v>12.610595238095238</v>
          </cell>
          <cell r="D20">
            <v>5659761.2721832423</v>
          </cell>
          <cell r="E20">
            <v>71203.010238836228</v>
          </cell>
        </row>
        <row r="21">
          <cell r="A21">
            <v>44409</v>
          </cell>
          <cell r="B21">
            <v>802926.47022881533</v>
          </cell>
          <cell r="C21">
            <v>13.217619047619047</v>
          </cell>
          <cell r="D21">
            <v>6028522.5055154096</v>
          </cell>
          <cell r="E21">
            <v>70224.057158932104</v>
          </cell>
        </row>
        <row r="22">
          <cell r="A22">
            <v>44440</v>
          </cell>
          <cell r="B22">
            <v>913105.56779519399</v>
          </cell>
          <cell r="C22">
            <v>15.721547619047618</v>
          </cell>
          <cell r="D22">
            <v>7002866.0042342264</v>
          </cell>
          <cell r="E22">
            <v>78297.011739564026</v>
          </cell>
          <cell r="F22">
            <v>723950.13969367545</v>
          </cell>
          <cell r="G22">
            <v>16.385805014430016</v>
          </cell>
          <cell r="H22">
            <v>5528122.2936318889</v>
          </cell>
          <cell r="I22">
            <v>77827.525130523951</v>
          </cell>
        </row>
        <row r="23">
          <cell r="A23">
            <v>44470</v>
          </cell>
          <cell r="B23">
            <v>940195.82807425165</v>
          </cell>
          <cell r="C23">
            <v>16.913500000000003</v>
          </cell>
          <cell r="D23">
            <v>7205243.5770300953</v>
          </cell>
          <cell r="E23">
            <v>92944.66560286512</v>
          </cell>
        </row>
        <row r="24">
          <cell r="A24">
            <v>44501</v>
          </cell>
          <cell r="B24">
            <v>924909.41249825526</v>
          </cell>
          <cell r="C24">
            <v>16.948875000000001</v>
          </cell>
          <cell r="D24">
            <v>7840209.5461700791</v>
          </cell>
          <cell r="E24">
            <v>78487.245287156999</v>
          </cell>
        </row>
        <row r="25">
          <cell r="A25">
            <v>44531</v>
          </cell>
          <cell r="B25">
            <v>922403.33660535607</v>
          </cell>
          <cell r="C25">
            <v>17.178478260869568</v>
          </cell>
          <cell r="D25">
            <v>7741038.3718543639</v>
          </cell>
          <cell r="E25">
            <v>60133.109102888906</v>
          </cell>
          <cell r="F25">
            <v>792356.60170443496</v>
          </cell>
          <cell r="G25">
            <v>16.595075927494406</v>
          </cell>
          <cell r="H25">
            <v>6217247.2507606521</v>
          </cell>
          <cell r="I25">
            <v>77614.463419561638</v>
          </cell>
        </row>
        <row r="26">
          <cell r="A26">
            <v>44562</v>
          </cell>
          <cell r="B26">
            <v>917933.02153782861</v>
          </cell>
          <cell r="C26">
            <v>18.409624999999998</v>
          </cell>
          <cell r="D26">
            <v>9202291.7138526775</v>
          </cell>
          <cell r="E26">
            <v>73140.718052593395</v>
          </cell>
        </row>
        <row r="27">
          <cell r="A27">
            <v>44593</v>
          </cell>
          <cell r="B27">
            <v>951435.14728822967</v>
          </cell>
          <cell r="C27">
            <v>22.075250000000004</v>
          </cell>
          <cell r="D27">
            <v>10151865.699134922</v>
          </cell>
          <cell r="E27">
            <v>66828.692810147899</v>
          </cell>
        </row>
        <row r="28">
          <cell r="A28">
            <v>44621</v>
          </cell>
          <cell r="B28">
            <v>967157.61316651455</v>
          </cell>
          <cell r="C28">
            <v>25.079761904761909</v>
          </cell>
          <cell r="D28">
            <v>9698039.7837726735</v>
          </cell>
          <cell r="E28">
            <v>73180.323214307995</v>
          </cell>
          <cell r="F28">
            <v>830644.59977770736</v>
          </cell>
          <cell r="G28">
            <v>17.910026687684297</v>
          </cell>
          <cell r="H28">
            <v>7083951.8711338453</v>
          </cell>
          <cell r="I28">
            <v>75973.325404425341</v>
          </cell>
        </row>
        <row r="29">
          <cell r="A29">
            <v>44652</v>
          </cell>
          <cell r="B29">
            <v>982280.30541438702</v>
          </cell>
          <cell r="C29">
            <v>18.87263157894737</v>
          </cell>
          <cell r="D29">
            <v>10518902.604788512</v>
          </cell>
          <cell r="E29">
            <v>77540.355875076377</v>
          </cell>
        </row>
        <row r="30">
          <cell r="A30">
            <v>44682</v>
          </cell>
          <cell r="B30">
            <v>932310.13461958477</v>
          </cell>
          <cell r="C30">
            <v>22.608690476190482</v>
          </cell>
          <cell r="D30">
            <v>10315972.813486869</v>
          </cell>
          <cell r="E30">
            <v>65123.398241626863</v>
          </cell>
        </row>
        <row r="31">
          <cell r="A31">
            <v>44713</v>
          </cell>
          <cell r="B31">
            <v>950762.48687366548</v>
          </cell>
          <cell r="C31">
            <v>21.128409090909091</v>
          </cell>
          <cell r="D31">
            <v>11104983.887868512</v>
          </cell>
          <cell r="E31">
            <v>48968.568805764342</v>
          </cell>
          <cell r="F31">
            <v>955117.64230254572</v>
          </cell>
          <cell r="G31">
            <v>20.869910382015647</v>
          </cell>
          <cell r="H31">
            <v>10646619.768714631</v>
          </cell>
          <cell r="I31">
            <v>63877.440974155856</v>
          </cell>
        </row>
        <row r="32">
          <cell r="A32">
            <v>44743</v>
          </cell>
          <cell r="B32">
            <v>955394.58916314377</v>
          </cell>
          <cell r="C32">
            <v>18.308690476190478</v>
          </cell>
          <cell r="D32">
            <v>11133078.774413537</v>
          </cell>
          <cell r="E32">
            <v>51049.687605442232</v>
          </cell>
        </row>
        <row r="33">
          <cell r="A33">
            <v>44774</v>
          </cell>
          <cell r="B33">
            <v>1091424.0874592862</v>
          </cell>
          <cell r="C33">
            <v>18.565624999999997</v>
          </cell>
          <cell r="D33">
            <v>13632647.6549036</v>
          </cell>
          <cell r="E33">
            <v>66636.114343493216</v>
          </cell>
        </row>
        <row r="34">
          <cell r="A34">
            <v>44805</v>
          </cell>
          <cell r="B34">
            <v>1159872.1494074161</v>
          </cell>
          <cell r="C34">
            <v>19.554318181818179</v>
          </cell>
          <cell r="D34">
            <v>15238984.568565637</v>
          </cell>
          <cell r="E34">
            <v>69738.444432646938</v>
          </cell>
          <cell r="F34">
            <v>1012007.2921562471</v>
          </cell>
          <cell r="G34">
            <v>19.839727467342598</v>
          </cell>
          <cell r="H34">
            <v>11990761.717337778</v>
          </cell>
          <cell r="I34">
            <v>63176.094884008322</v>
          </cell>
        </row>
        <row r="35">
          <cell r="A35">
            <v>44835</v>
          </cell>
          <cell r="B35">
            <v>1098983.3740334779</v>
          </cell>
          <cell r="C35">
            <v>18.336447368421059</v>
          </cell>
          <cell r="D35">
            <v>15069443.273683928</v>
          </cell>
          <cell r="E35">
            <v>55072.94639933834</v>
          </cell>
        </row>
        <row r="36">
          <cell r="A36">
            <v>44866</v>
          </cell>
          <cell r="B36">
            <v>1239724.2166182152</v>
          </cell>
          <cell r="C36">
            <v>14.774047619047618</v>
          </cell>
          <cell r="D36">
            <v>14726981.040120175</v>
          </cell>
          <cell r="E36">
            <v>62730.513171098508</v>
          </cell>
        </row>
        <row r="37">
          <cell r="A37">
            <v>44896</v>
          </cell>
          <cell r="B37">
            <v>1335905.4074401341</v>
          </cell>
          <cell r="C37">
            <v>14.225681818181817</v>
          </cell>
          <cell r="D37">
            <v>19085781.306538139</v>
          </cell>
          <cell r="E37">
            <v>59574.818521501271</v>
          </cell>
          <cell r="F37">
            <v>1082961.8612254788</v>
          </cell>
          <cell r="G37">
            <v>18.486060178856231</v>
          </cell>
          <cell r="H37">
            <v>13425197.324929878</v>
          </cell>
          <cell r="I37">
            <v>61826.094155109786</v>
          </cell>
        </row>
        <row r="38">
          <cell r="A38">
            <v>44927</v>
          </cell>
          <cell r="B38">
            <v>1303439.9896989579</v>
          </cell>
          <cell r="C38">
            <v>15.008333333333335</v>
          </cell>
          <cell r="D38">
            <v>20096130.803253669</v>
          </cell>
          <cell r="E38">
            <v>54372.58326448562</v>
          </cell>
        </row>
        <row r="39">
          <cell r="A39">
            <v>44958</v>
          </cell>
          <cell r="B39">
            <v>1314038.8960650815</v>
          </cell>
          <cell r="C39">
            <v>14.060124999999999</v>
          </cell>
          <cell r="D39">
            <v>20708737.041776419</v>
          </cell>
          <cell r="E39">
            <v>56184.265903741238</v>
          </cell>
        </row>
        <row r="40">
          <cell r="A40">
            <v>44986</v>
          </cell>
          <cell r="B40">
            <v>1369359.4319476932</v>
          </cell>
          <cell r="C40">
            <v>14.35464285714286</v>
          </cell>
          <cell r="D40">
            <v>23472029.381664127</v>
          </cell>
          <cell r="E40">
            <v>54508.226142164676</v>
          </cell>
          <cell r="F40">
            <v>1144457.9223950868</v>
          </cell>
          <cell r="G40">
            <v>17.483136900015189</v>
          </cell>
          <cell r="H40">
            <v>15425306.095921926</v>
          </cell>
          <cell r="I40">
            <v>60124.993558864961</v>
          </cell>
        </row>
        <row r="41">
          <cell r="A41">
            <v>45017</v>
          </cell>
          <cell r="B41">
            <v>1416102.7387327044</v>
          </cell>
          <cell r="C41">
            <v>11.911617647058824</v>
          </cell>
          <cell r="D41">
            <v>24198312.427688405</v>
          </cell>
          <cell r="E41">
            <v>56645.736256680408</v>
          </cell>
        </row>
        <row r="42">
          <cell r="A42">
            <v>45047</v>
          </cell>
          <cell r="B42">
            <v>1562381.9496977769</v>
          </cell>
          <cell r="C42">
            <v>12.540113636363635</v>
          </cell>
          <cell r="D42">
            <v>25144316.31746316</v>
          </cell>
          <cell r="E42">
            <v>66261.087822888963</v>
          </cell>
        </row>
        <row r="43">
          <cell r="A43">
            <v>45078</v>
          </cell>
          <cell r="B43">
            <v>1666038.5811597346</v>
          </cell>
          <cell r="C43">
            <v>11.180476190476192</v>
          </cell>
          <cell r="D43">
            <v>25821331.049052782</v>
          </cell>
          <cell r="E43">
            <v>70178.798810089414</v>
          </cell>
          <cell r="F43">
            <v>1548174.4231967386</v>
          </cell>
          <cell r="G43">
            <v>11.87740249129955</v>
          </cell>
          <cell r="H43">
            <v>25054653.264734786</v>
          </cell>
          <cell r="I43">
            <v>64361.874296552931</v>
          </cell>
        </row>
        <row r="44">
          <cell r="A44">
            <v>45108</v>
          </cell>
          <cell r="B44">
            <v>1772706.7149060031</v>
          </cell>
          <cell r="C44">
            <v>11.182500000000001</v>
          </cell>
          <cell r="D44">
            <v>30628058.561650679</v>
          </cell>
          <cell r="E44">
            <v>80565.352852820419</v>
          </cell>
        </row>
        <row r="45">
          <cell r="A45">
            <v>45139</v>
          </cell>
          <cell r="B45">
            <v>1803435.3253798669</v>
          </cell>
          <cell r="C45">
            <v>11.63693181818182</v>
          </cell>
          <cell r="D45">
            <v>31266290.110527609</v>
          </cell>
          <cell r="E45">
            <v>87057.534608665432</v>
          </cell>
        </row>
        <row r="46">
          <cell r="A46">
            <v>45170</v>
          </cell>
          <cell r="B46">
            <v>1872309.326720899</v>
          </cell>
          <cell r="C46">
            <v>11.197125</v>
          </cell>
          <cell r="D46">
            <v>35680434.778807446</v>
          </cell>
          <cell r="E46">
            <v>93248.859006593659</v>
          </cell>
          <cell r="F46">
            <v>1682162.4394328308</v>
          </cell>
          <cell r="G46">
            <v>11.608127382013413</v>
          </cell>
          <cell r="H46">
            <v>28789790.540865015</v>
          </cell>
          <cell r="I46">
            <v>75659.561559623049</v>
          </cell>
        </row>
        <row r="47">
          <cell r="A47">
            <v>45200</v>
          </cell>
          <cell r="B47">
            <v>1848306.4745340268</v>
          </cell>
          <cell r="C47">
            <v>11.109249999999999</v>
          </cell>
          <cell r="D47">
            <v>35010046.544269256</v>
          </cell>
          <cell r="E47">
            <v>74114.320660434634</v>
          </cell>
        </row>
        <row r="48">
          <cell r="A48">
            <v>45231</v>
          </cell>
          <cell r="B48">
            <v>1918289.2443934307</v>
          </cell>
          <cell r="C48">
            <v>11.573214285714286</v>
          </cell>
          <cell r="D48">
            <v>36173949.480507493</v>
          </cell>
          <cell r="E48">
            <v>82245.336113450394</v>
          </cell>
        </row>
        <row r="49">
          <cell r="A49">
            <v>45261</v>
          </cell>
          <cell r="B49">
            <v>2102335.7054934455</v>
          </cell>
          <cell r="C49">
            <v>13.512874999999999</v>
          </cell>
          <cell r="D49">
            <v>44922456.588374816</v>
          </cell>
          <cell r="E49">
            <v>119557.19901648766</v>
          </cell>
          <cell r="F49">
            <v>1773545.1178908767</v>
          </cell>
          <cell r="G49">
            <v>11.760455953088305</v>
          </cell>
          <cell r="H49">
            <v>32093910.650926847</v>
          </cell>
          <cell r="I49">
            <v>81097.136127567894</v>
          </cell>
        </row>
        <row r="50">
          <cell r="A50">
            <v>45292</v>
          </cell>
          <cell r="B50">
            <v>2115776.1185060339</v>
          </cell>
          <cell r="C50">
            <v>14.090454545454547</v>
          </cell>
          <cell r="D50">
            <v>45830060.746099681</v>
          </cell>
          <cell r="E50">
            <v>129043.99691230503</v>
          </cell>
        </row>
        <row r="51">
          <cell r="A51">
            <v>45323</v>
          </cell>
          <cell r="B51">
            <v>2170801.4392299508</v>
          </cell>
          <cell r="C51">
            <v>15.547857142857143</v>
          </cell>
          <cell r="D51">
            <v>48209015.194203272</v>
          </cell>
          <cell r="E51">
            <v>134351.41768431486</v>
          </cell>
        </row>
        <row r="52">
          <cell r="A52">
            <v>45352</v>
          </cell>
          <cell r="B52">
            <v>2138084.9010960306</v>
          </cell>
          <cell r="C52">
            <v>13.756842105263157</v>
          </cell>
          <cell r="D52">
            <v>48237727.605657011</v>
          </cell>
          <cell r="E52">
            <v>116014.91521431155</v>
          </cell>
          <cell r="F52">
            <v>1865547.3766541586</v>
          </cell>
          <cell r="G52">
            <v>12.436604780947468</v>
          </cell>
          <cell r="H52">
            <v>35926833.283691794</v>
          </cell>
          <cell r="I52">
            <v>92440.379579920205</v>
          </cell>
        </row>
        <row r="53">
          <cell r="A53">
            <v>45383</v>
          </cell>
          <cell r="B53">
            <v>2165312.1593873859</v>
          </cell>
          <cell r="C53">
            <v>11.739000000000001</v>
          </cell>
          <cell r="D53">
            <v>44450163.617939934</v>
          </cell>
          <cell r="E53">
            <v>118428.58009321697</v>
          </cell>
        </row>
        <row r="54">
          <cell r="A54">
            <v>45413</v>
          </cell>
          <cell r="B54">
            <v>2248493.4247836582</v>
          </cell>
          <cell r="C54">
            <v>20.159772727272728</v>
          </cell>
          <cell r="D54">
            <v>45006580.455530711</v>
          </cell>
          <cell r="E54">
            <v>129647.37922664364</v>
          </cell>
        </row>
        <row r="55">
          <cell r="A55">
            <v>45444</v>
          </cell>
          <cell r="B55">
            <v>2356652.8165251957</v>
          </cell>
          <cell r="C55">
            <v>15.562368421052632</v>
          </cell>
          <cell r="D55">
            <v>49681649.52909065</v>
          </cell>
          <cell r="E55">
            <v>172986.73988465717</v>
          </cell>
          <cell r="F55">
            <v>2256819.4668987463</v>
          </cell>
          <cell r="G55">
            <v>15.82038038277512</v>
          </cell>
          <cell r="H55">
            <v>46379464.534187101</v>
          </cell>
          <cell r="I55">
            <v>140354.23306817259</v>
          </cell>
        </row>
        <row r="56">
          <cell r="A56">
            <v>45474</v>
          </cell>
          <cell r="B56">
            <v>2448703.0977610368</v>
          </cell>
          <cell r="C56">
            <v>13.540454545454542</v>
          </cell>
          <cell r="D56">
            <v>49539753.185478635</v>
          </cell>
          <cell r="E56">
            <v>156905.68942091917</v>
          </cell>
        </row>
        <row r="57">
          <cell r="A57">
            <v>45505</v>
          </cell>
          <cell r="B57">
            <v>2536645.2772647869</v>
          </cell>
          <cell r="C57">
            <v>14.900833333333335</v>
          </cell>
          <cell r="D57">
            <v>50005275.574063852</v>
          </cell>
          <cell r="E57">
            <v>141670.4585747722</v>
          </cell>
        </row>
        <row r="58">
          <cell r="A58">
            <v>45536</v>
          </cell>
          <cell r="B58">
            <v>2765841.1152776815</v>
          </cell>
          <cell r="C58">
            <v>13.286547619047621</v>
          </cell>
          <cell r="D58">
            <v>53700455.66813837</v>
          </cell>
          <cell r="E58">
            <v>135382.62796746386</v>
          </cell>
          <cell r="F58">
            <v>2420274.6484999573</v>
          </cell>
          <cell r="G58">
            <v>14.864829441026812</v>
          </cell>
          <cell r="H58">
            <v>48730646.338373691</v>
          </cell>
          <cell r="I58">
            <v>142503.57919461219</v>
          </cell>
        </row>
        <row r="59">
          <cell r="A59">
            <v>45566</v>
          </cell>
          <cell r="B59">
            <v>2733867.7957605976</v>
          </cell>
          <cell r="C59">
            <v>13.932386363636363</v>
          </cell>
          <cell r="D59">
            <v>51566247.834678389</v>
          </cell>
          <cell r="E59">
            <v>118318.97091876673</v>
          </cell>
        </row>
        <row r="60">
          <cell r="A60">
            <v>45597</v>
          </cell>
          <cell r="B60">
            <v>2438167.6784767718</v>
          </cell>
          <cell r="C60">
            <v>15.254736842105265</v>
          </cell>
          <cell r="D60">
            <v>46342908.195292301</v>
          </cell>
          <cell r="E60">
            <v>115737.8899996265</v>
          </cell>
        </row>
        <row r="61">
          <cell r="A61">
            <v>45627</v>
          </cell>
          <cell r="B61">
            <v>2486473.8460738845</v>
          </cell>
          <cell r="C61">
            <v>14.020714285714288</v>
          </cell>
          <cell r="D61">
            <v>29443405.969990078</v>
          </cell>
          <cell r="E61">
            <v>114638.54966888631</v>
          </cell>
          <cell r="F61">
            <v>2464461.9123678887</v>
          </cell>
          <cell r="G61">
            <v>14.710757126401866</v>
          </cell>
          <cell r="H61">
            <v>46637382.225578099</v>
          </cell>
          <cell r="I61">
            <v>133746.32063943916</v>
          </cell>
        </row>
        <row r="62">
          <cell r="A62">
            <v>45658</v>
          </cell>
          <cell r="B62">
            <v>2217218.8199358899</v>
          </cell>
          <cell r="C62">
            <v>15.928586956521738</v>
          </cell>
          <cell r="D62">
            <v>29661090.98564643</v>
          </cell>
          <cell r="E62">
            <v>105916.30740509875</v>
          </cell>
        </row>
        <row r="63">
          <cell r="A63">
            <v>45689</v>
          </cell>
          <cell r="B63">
            <v>2122201.1964594326</v>
          </cell>
          <cell r="C63">
            <v>14.499375000000004</v>
          </cell>
          <cell r="D63">
            <v>28606553.803606551</v>
          </cell>
          <cell r="E63">
            <v>99922.828401432693</v>
          </cell>
        </row>
        <row r="64">
          <cell r="A64">
            <v>45717</v>
          </cell>
          <cell r="B64">
            <v>2231725.2157410216</v>
          </cell>
          <cell r="C64">
            <v>13.443684210526316</v>
          </cell>
          <cell r="D64">
            <v>35163822.061157756</v>
          </cell>
          <cell r="E64">
            <v>107611.92790112307</v>
          </cell>
          <cell r="F64">
            <v>2395941.8702872782</v>
          </cell>
          <cell r="G64">
            <v>14.689038358722073</v>
          </cell>
          <cell r="H64">
            <v>42763992.240051143</v>
          </cell>
          <cell r="I64">
            <v>126430.66245521726</v>
          </cell>
        </row>
        <row r="65">
          <cell r="A65">
            <v>45748</v>
          </cell>
          <cell r="B65">
            <v>2116538.082295625</v>
          </cell>
          <cell r="C65">
            <v>16.828947368421051</v>
          </cell>
          <cell r="D65">
            <v>36768324.197845317</v>
          </cell>
          <cell r="E65">
            <v>111644.51463668048</v>
          </cell>
        </row>
        <row r="66">
          <cell r="A66">
            <v>45778</v>
          </cell>
          <cell r="B66">
            <v>2289459.3494472979</v>
          </cell>
          <cell r="C66">
            <v>18.022857142857141</v>
          </cell>
          <cell r="D66">
            <v>34145449.125285156</v>
          </cell>
          <cell r="E66">
            <v>124711.95964578453</v>
          </cell>
        </row>
        <row r="67">
          <cell r="A67">
            <v>45809</v>
          </cell>
          <cell r="B67">
            <v>2268537.784506951</v>
          </cell>
          <cell r="C67">
            <v>14.310952380952379</v>
          </cell>
          <cell r="D67">
            <v>33407874.641389899</v>
          </cell>
          <cell r="E67">
            <v>127477.67025679621</v>
          </cell>
          <cell r="F67">
            <v>2224845.0720832911</v>
          </cell>
          <cell r="G67">
            <v>16.387585630743523</v>
          </cell>
          <cell r="H67">
            <v>34773882.654840119</v>
          </cell>
          <cell r="I67">
            <v>121278.04817975375</v>
          </cell>
        </row>
        <row r="68">
          <cell r="A68">
            <v>45839</v>
          </cell>
          <cell r="B68">
            <v>2269017.6977930828</v>
          </cell>
          <cell r="C68">
            <v>11.653043478260871</v>
          </cell>
          <cell r="D68">
            <v>36756154.005437844</v>
          </cell>
          <cell r="E68">
            <v>107603.56281688037</v>
          </cell>
        </row>
        <row r="69">
          <cell r="A69">
            <v>45870</v>
          </cell>
          <cell r="B69">
            <v>2180078.4976819544</v>
          </cell>
          <cell r="C69">
            <v>11.95736842105263</v>
          </cell>
          <cell r="D69">
            <v>40030905.480467282</v>
          </cell>
          <cell r="E69">
            <v>109927.56863424322</v>
          </cell>
        </row>
        <row r="70">
          <cell r="A70">
            <v>45901</v>
          </cell>
          <cell r="B70">
            <v>2374375.3588008792</v>
          </cell>
          <cell r="C70">
            <v>10.67909090909091</v>
          </cell>
          <cell r="D70">
            <v>42184354.376300566</v>
          </cell>
          <cell r="E70">
            <v>111678.46988357695</v>
          </cell>
          <cell r="F70">
            <v>2249667.7950876318</v>
          </cell>
          <cell r="G70">
            <v>13.90870995010583</v>
          </cell>
          <cell r="H70">
            <v>37215510.304454349</v>
          </cell>
          <cell r="I70">
            <v>115507.29097899364</v>
          </cell>
        </row>
        <row r="71">
          <cell r="A71">
            <v>45931</v>
          </cell>
          <cell r="B71">
            <v>2449342.0789443376</v>
          </cell>
          <cell r="C71">
            <v>11.061904761904762</v>
          </cell>
          <cell r="D71">
            <v>51336143.094183527</v>
          </cell>
          <cell r="E71">
            <v>116417.8240066963</v>
          </cell>
        </row>
        <row r="72">
          <cell r="A72">
            <v>45962</v>
          </cell>
          <cell r="B72">
            <v>2494313.8767870371</v>
          </cell>
          <cell r="C72">
            <v>12.304210526315789</v>
          </cell>
          <cell r="D72">
            <v>46678430.554532357</v>
          </cell>
          <cell r="E72">
            <v>119228.18472754593</v>
          </cell>
        </row>
        <row r="73">
          <cell r="A73">
            <v>45992</v>
          </cell>
          <cell r="B73">
            <v>2530015.2321747434</v>
          </cell>
          <cell r="C73">
            <v>10.198636363636366</v>
          </cell>
          <cell r="D73">
            <v>45842841.411619477</v>
          </cell>
          <cell r="E73">
            <v>106721.82544598352</v>
          </cell>
          <cell r="F73">
            <v>2330186.4398257677</v>
          </cell>
          <cell r="G73">
            <v>13.001890150276877</v>
          </cell>
          <cell r="H73">
            <v>40794497.431895711</v>
          </cell>
          <cell r="I73">
            <v>115045.73111713196</v>
          </cell>
        </row>
        <row r="74">
          <cell r="A74">
            <v>46023</v>
          </cell>
          <cell r="B74">
            <v>2437045.5120694512</v>
          </cell>
          <cell r="C74">
            <v>11.814</v>
          </cell>
          <cell r="D74">
            <v>57521836.889234424</v>
          </cell>
          <cell r="E74">
            <v>135285.79488467384</v>
          </cell>
        </row>
        <row r="75">
          <cell r="A75">
            <v>46054</v>
          </cell>
          <cell r="B75">
            <v>2521830.0379658039</v>
          </cell>
          <cell r="C75">
            <v>13.012857142857142</v>
          </cell>
          <cell r="D75">
            <v>49916921.281417117</v>
          </cell>
          <cell r="E75">
            <v>128565.42884689219</v>
          </cell>
        </row>
        <row r="76">
          <cell r="A76">
            <v>46082</v>
          </cell>
          <cell r="B76">
            <v>2232933.9561253428</v>
          </cell>
          <cell r="C76">
            <v>22.106842105263155</v>
          </cell>
          <cell r="D76">
            <v>50037399.074213259</v>
          </cell>
          <cell r="E76">
            <v>139705.77101351085</v>
          </cell>
          <cell r="F76">
            <v>2346957.2887160419</v>
          </cell>
          <cell r="G76">
            <v>13.662559216717682</v>
          </cell>
          <cell r="H76">
            <v>43718886.177660517</v>
          </cell>
          <cell r="I76">
            <v>119914.04789993871</v>
          </cell>
        </row>
        <row r="77">
          <cell r="A77">
            <v>46113</v>
          </cell>
          <cell r="B77">
            <v>2161581.1744419327</v>
          </cell>
          <cell r="C77">
            <v>19.97</v>
          </cell>
          <cell r="D77">
            <v>47183717.463872865</v>
          </cell>
          <cell r="E77">
            <v>149576.60662208771</v>
          </cell>
        </row>
        <row r="78">
          <cell r="A78">
            <v>46143</v>
          </cell>
          <cell r="B78">
            <v>2346638.5276878355</v>
          </cell>
          <cell r="C78">
            <v>17.762631578947367</v>
          </cell>
          <cell r="D78">
            <v>47141741.901736461</v>
          </cell>
          <cell r="E78">
            <v>157145.81168566889</v>
          </cell>
        </row>
        <row r="79">
          <cell r="A79">
            <v>46174</v>
          </cell>
          <cell r="B79">
            <v>2694381.3974901233</v>
          </cell>
          <cell r="C79">
            <v>14.542857142857144</v>
          </cell>
          <cell r="D79">
            <v>47773433.795056321</v>
          </cell>
          <cell r="E79">
            <v>146663.0596976894</v>
          </cell>
          <cell r="F79">
            <v>2400867.0332066305</v>
          </cell>
          <cell r="G79">
            <v>17.42516290726817</v>
          </cell>
          <cell r="H79">
            <v>47366297.720221877</v>
          </cell>
          <cell r="I79">
            <v>151128.49266848201</v>
          </cell>
        </row>
        <row r="80">
          <cell r="A80">
            <v>46204</v>
          </cell>
          <cell r="B80">
            <v>2807126.7911015661</v>
          </cell>
          <cell r="C80">
            <v>12.927647058823528</v>
          </cell>
          <cell r="D80">
            <v>44074522.035999984</v>
          </cell>
          <cell r="E80">
            <v>136773.29615843159</v>
          </cell>
        </row>
      </sheetData>
      <sheetData sheetId="10">
        <row r="81">
          <cell r="A81">
            <v>46235</v>
          </cell>
          <cell r="B81">
            <v>2792344</v>
          </cell>
        </row>
        <row r="82">
          <cell r="A82">
            <v>46266</v>
          </cell>
          <cell r="B82">
            <v>2849853</v>
          </cell>
          <cell r="C82">
            <v>2608654.148453576</v>
          </cell>
        </row>
        <row r="83">
          <cell r="A83">
            <v>46296</v>
          </cell>
          <cell r="B83">
            <v>2854455</v>
          </cell>
        </row>
        <row r="84">
          <cell r="A84">
            <v>46327</v>
          </cell>
          <cell r="B84">
            <v>2897715</v>
          </cell>
        </row>
        <row r="85">
          <cell r="A85">
            <v>46357</v>
          </cell>
          <cell r="B85">
            <v>2912667</v>
          </cell>
          <cell r="C85">
            <v>2701862.4323023837</v>
          </cell>
        </row>
        <row r="86">
          <cell r="A86">
            <v>46388</v>
          </cell>
          <cell r="B86">
            <v>2948287</v>
          </cell>
        </row>
        <row r="87">
          <cell r="A87">
            <v>46419</v>
          </cell>
          <cell r="B87">
            <v>2968755</v>
          </cell>
        </row>
        <row r="88">
          <cell r="A88">
            <v>46447</v>
          </cell>
          <cell r="B88">
            <v>3000269</v>
          </cell>
          <cell r="C88">
            <v>2769506.0742267878</v>
          </cell>
        </row>
        <row r="89">
          <cell r="A89">
            <v>46478</v>
          </cell>
          <cell r="B89">
            <v>3023669</v>
          </cell>
        </row>
        <row r="90">
          <cell r="A90">
            <v>46508</v>
          </cell>
          <cell r="B90">
            <v>3052968</v>
          </cell>
        </row>
        <row r="91">
          <cell r="A91">
            <v>46539</v>
          </cell>
          <cell r="B91">
            <v>3077918</v>
          </cell>
          <cell r="C91">
            <v>3051518.3333333335</v>
          </cell>
        </row>
        <row r="92">
          <cell r="A92">
            <v>46569</v>
          </cell>
          <cell r="B92">
            <v>3106013</v>
          </cell>
        </row>
        <row r="93">
          <cell r="A93">
            <v>46600</v>
          </cell>
          <cell r="B93">
            <v>3131771</v>
          </cell>
        </row>
        <row r="94">
          <cell r="A94">
            <v>46631</v>
          </cell>
          <cell r="B94">
            <v>3159203</v>
          </cell>
          <cell r="C94">
            <v>3091923.6666666665</v>
          </cell>
        </row>
        <row r="95">
          <cell r="A95">
            <v>46661</v>
          </cell>
          <cell r="B95">
            <v>3185376</v>
          </cell>
        </row>
        <row r="96">
          <cell r="A96">
            <v>46692</v>
          </cell>
          <cell r="B96">
            <v>3212435</v>
          </cell>
        </row>
        <row r="97">
          <cell r="A97">
            <v>46722</v>
          </cell>
          <cell r="B97">
            <v>3238811</v>
          </cell>
          <cell r="C97">
            <v>3132018.222222222</v>
          </cell>
        </row>
        <row r="98">
          <cell r="A98">
            <v>46753</v>
          </cell>
          <cell r="B98">
            <v>3265650</v>
          </cell>
        </row>
        <row r="99">
          <cell r="A99">
            <v>46784</v>
          </cell>
          <cell r="B99">
            <v>3292115</v>
          </cell>
        </row>
        <row r="100">
          <cell r="A100">
            <v>46813</v>
          </cell>
          <cell r="B100">
            <v>3318819</v>
          </cell>
          <cell r="C100">
            <v>3172062.3333333335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3093-BDA9-44AA-A857-37197FF12423}">
  <dimension ref="A1:B16"/>
  <sheetViews>
    <sheetView workbookViewId="0">
      <selection activeCell="D13" sqref="D13"/>
    </sheetView>
  </sheetViews>
  <sheetFormatPr defaultRowHeight="14.5" x14ac:dyDescent="0.35"/>
  <cols>
    <col min="1" max="1" width="21.26953125" bestFit="1" customWidth="1"/>
    <col min="2" max="2" width="11.81640625" bestFit="1" customWidth="1"/>
  </cols>
  <sheetData>
    <row r="1" spans="1:2" x14ac:dyDescent="0.35">
      <c r="A1" s="10" t="s">
        <v>17</v>
      </c>
      <c r="B1" s="10"/>
    </row>
    <row r="3" spans="1:2" x14ac:dyDescent="0.35">
      <c r="A3" t="s">
        <v>20</v>
      </c>
      <c r="B3">
        <v>5.0583764223546901E-3</v>
      </c>
    </row>
    <row r="4" spans="1:2" x14ac:dyDescent="0.35">
      <c r="A4" t="s">
        <v>21</v>
      </c>
      <c r="B4">
        <v>4.0667809317888897E-4</v>
      </c>
    </row>
    <row r="5" spans="1:2" x14ac:dyDescent="0.35">
      <c r="A5" t="s">
        <v>22</v>
      </c>
      <c r="B5">
        <v>4.2088271321716001E-3</v>
      </c>
    </row>
    <row r="6" spans="1:2" x14ac:dyDescent="0.35">
      <c r="A6" t="s">
        <v>23</v>
      </c>
      <c r="B6" t="e">
        <v>#N/A</v>
      </c>
    </row>
    <row r="7" spans="1:2" x14ac:dyDescent="0.35">
      <c r="A7" t="s">
        <v>24</v>
      </c>
      <c r="B7">
        <v>2.0333904658944449E-3</v>
      </c>
    </row>
    <row r="8" spans="1:2" x14ac:dyDescent="0.35">
      <c r="A8" t="s">
        <v>25</v>
      </c>
      <c r="B8">
        <v>4.1346767867904273E-6</v>
      </c>
    </row>
    <row r="9" spans="1:2" x14ac:dyDescent="0.35">
      <c r="A9" t="s">
        <v>26</v>
      </c>
      <c r="B9">
        <v>4.3954203250411759</v>
      </c>
    </row>
    <row r="10" spans="1:2" x14ac:dyDescent="0.35">
      <c r="A10" t="s">
        <v>27</v>
      </c>
      <c r="B10">
        <v>2.0420283355285602</v>
      </c>
    </row>
    <row r="11" spans="1:2" x14ac:dyDescent="0.35">
      <c r="A11" t="s">
        <v>28</v>
      </c>
      <c r="B11">
        <v>8.4891862865881171E-3</v>
      </c>
    </row>
    <row r="12" spans="1:2" x14ac:dyDescent="0.35">
      <c r="A12" t="s">
        <v>29</v>
      </c>
      <c r="B12">
        <v>3.1463902784902914E-3</v>
      </c>
    </row>
    <row r="13" spans="1:2" x14ac:dyDescent="0.35">
      <c r="A13" t="s">
        <v>30</v>
      </c>
      <c r="B13">
        <v>1.1635576565078409E-2</v>
      </c>
    </row>
    <row r="14" spans="1:2" x14ac:dyDescent="0.35">
      <c r="A14" t="s">
        <v>31</v>
      </c>
      <c r="B14">
        <v>0.12645941055886725</v>
      </c>
    </row>
    <row r="15" spans="1:2" x14ac:dyDescent="0.35">
      <c r="A15" t="s">
        <v>32</v>
      </c>
      <c r="B15">
        <v>25</v>
      </c>
    </row>
    <row r="16" spans="1:2" ht="15" thickBot="1" x14ac:dyDescent="0.4">
      <c r="A16" s="8" t="s">
        <v>33</v>
      </c>
      <c r="B16" s="8">
        <v>8.3934233155753704E-4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398D-46E8-4AB0-8FF4-9E9C620A9758}">
  <dimension ref="A1:B15"/>
  <sheetViews>
    <sheetView workbookViewId="0">
      <selection sqref="A1:B15"/>
    </sheetView>
  </sheetViews>
  <sheetFormatPr defaultRowHeight="14.5" x14ac:dyDescent="0.35"/>
  <cols>
    <col min="1" max="1" width="21.26953125" bestFit="1" customWidth="1"/>
    <col min="2" max="2" width="11.81640625" bestFit="1" customWidth="1"/>
  </cols>
  <sheetData>
    <row r="1" spans="1:2" x14ac:dyDescent="0.35">
      <c r="A1" s="11" t="s">
        <v>12</v>
      </c>
      <c r="B1" s="11"/>
    </row>
    <row r="2" spans="1:2" x14ac:dyDescent="0.35">
      <c r="A2" s="9" t="s">
        <v>20</v>
      </c>
      <c r="B2" s="9">
        <v>5.1982334888851702E-3</v>
      </c>
    </row>
    <row r="3" spans="1:2" x14ac:dyDescent="0.35">
      <c r="A3" s="9" t="s">
        <v>21</v>
      </c>
      <c r="B3" s="9">
        <v>4.4840468089402856E-4</v>
      </c>
    </row>
    <row r="4" spans="1:2" x14ac:dyDescent="0.35">
      <c r="A4" s="9" t="s">
        <v>22</v>
      </c>
      <c r="B4" s="9">
        <v>4.5032318247922873E-3</v>
      </c>
    </row>
    <row r="5" spans="1:2" x14ac:dyDescent="0.35">
      <c r="A5" s="9" t="s">
        <v>23</v>
      </c>
      <c r="B5" s="9" t="e">
        <v>#N/A</v>
      </c>
    </row>
    <row r="6" spans="1:2" x14ac:dyDescent="0.35">
      <c r="A6" s="9" t="s">
        <v>24</v>
      </c>
      <c r="B6" s="9">
        <v>2.2864242178649973E-3</v>
      </c>
    </row>
    <row r="7" spans="1:2" x14ac:dyDescent="0.35">
      <c r="A7" s="9" t="s">
        <v>25</v>
      </c>
      <c r="B7" s="9">
        <v>5.2277357040395656E-6</v>
      </c>
    </row>
    <row r="8" spans="1:2" x14ac:dyDescent="0.35">
      <c r="A8" s="9" t="s">
        <v>26</v>
      </c>
      <c r="B8" s="9">
        <v>4.0690355553621949</v>
      </c>
    </row>
    <row r="9" spans="1:2" x14ac:dyDescent="0.35">
      <c r="A9" s="9" t="s">
        <v>27</v>
      </c>
      <c r="B9" s="9">
        <v>2.0234184725557607</v>
      </c>
    </row>
    <row r="10" spans="1:2" x14ac:dyDescent="0.35">
      <c r="A10" s="9" t="s">
        <v>28</v>
      </c>
      <c r="B10" s="9">
        <v>9.3105361250374469E-3</v>
      </c>
    </row>
    <row r="11" spans="1:2" x14ac:dyDescent="0.35">
      <c r="A11" s="9" t="s">
        <v>29</v>
      </c>
      <c r="B11" s="9">
        <v>3.1195976244332195E-3</v>
      </c>
    </row>
    <row r="12" spans="1:2" x14ac:dyDescent="0.35">
      <c r="A12" s="9" t="s">
        <v>30</v>
      </c>
      <c r="B12" s="9">
        <v>1.2430133749470667E-2</v>
      </c>
    </row>
    <row r="13" spans="1:2" x14ac:dyDescent="0.35">
      <c r="A13" s="9" t="s">
        <v>31</v>
      </c>
      <c r="B13" s="9">
        <v>0.13515407071101443</v>
      </c>
    </row>
    <row r="14" spans="1:2" x14ac:dyDescent="0.35">
      <c r="A14" s="9" t="s">
        <v>32</v>
      </c>
      <c r="B14" s="9">
        <v>26</v>
      </c>
    </row>
    <row r="15" spans="1:2" x14ac:dyDescent="0.35">
      <c r="A15" s="9" t="s">
        <v>33</v>
      </c>
      <c r="B15" s="9">
        <v>9.2350672753629189E-4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12A6-DDAD-4CCB-8261-184FB2AA1F11}">
  <dimension ref="A1:U42"/>
  <sheetViews>
    <sheetView tabSelected="1" workbookViewId="0">
      <selection activeCell="A17" sqref="A1:XFD1048576"/>
    </sheetView>
  </sheetViews>
  <sheetFormatPr defaultRowHeight="14.5" x14ac:dyDescent="0.35"/>
  <cols>
    <col min="3" max="3" width="8.81640625" bestFit="1" customWidth="1"/>
    <col min="4" max="4" width="9.36328125" bestFit="1" customWidth="1"/>
    <col min="5" max="5" width="8.81640625" bestFit="1" customWidth="1"/>
    <col min="6" max="6" width="10.36328125" bestFit="1" customWidth="1"/>
  </cols>
  <sheetData>
    <row r="1" spans="1:21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</v>
      </c>
      <c r="O1" t="s">
        <v>18</v>
      </c>
      <c r="P1" t="s">
        <v>19</v>
      </c>
      <c r="Q1" t="s">
        <v>16</v>
      </c>
      <c r="R1" t="s">
        <v>13</v>
      </c>
      <c r="S1" t="s">
        <v>14</v>
      </c>
      <c r="T1" t="s">
        <v>15</v>
      </c>
      <c r="U1" t="s">
        <v>34</v>
      </c>
    </row>
    <row r="2" spans="1:21" x14ac:dyDescent="0.35">
      <c r="A2" s="1">
        <v>43800</v>
      </c>
      <c r="B2" s="5">
        <v>3060.44</v>
      </c>
    </row>
    <row r="3" spans="1:21" x14ac:dyDescent="0.35">
      <c r="A3" s="1">
        <v>43891</v>
      </c>
      <c r="B3" s="2">
        <v>3149.13</v>
      </c>
      <c r="C3" s="5">
        <f>VLOOKUP(A3,[1]ALL_DATA_MDA!$A$2:$E$80,5,0)</f>
        <v>54055.465787908099</v>
      </c>
      <c r="D3" s="5">
        <f>VLOOKUP(A3,[1]ALL_DATA_MDA!$A$2:$E$80,2,0)</f>
        <v>253346.42920749786</v>
      </c>
      <c r="E3" s="5">
        <f>VLOOKUP(A3,[1]ALL_DATA_MDA!$A$2:$C$80,3,0)</f>
        <v>53.063571428571429</v>
      </c>
      <c r="F3" s="5">
        <f>VLOOKUP(A3,[1]ALL_DATA_MDA!$A$1:$D$80,4,0)</f>
        <v>1146922.9819347807</v>
      </c>
      <c r="G3">
        <f>VLOOKUP(A3,[1]ALL_DATA_MDA!$A$4:$I$80,6,0)</f>
        <v>332914.38076649059</v>
      </c>
      <c r="H3">
        <f>VLOOKUP(A3,[1]ALL_DATA_MDA!$A$4:$I$80,7,0)</f>
        <v>27.788757505175983</v>
      </c>
      <c r="I3">
        <f>VLOOKUP(A3,[1]ALL_DATA_MDA!$A$4:$I$80,8,0)</f>
        <v>1516939.9299189982</v>
      </c>
      <c r="J3">
        <f>VLOOKUP(A3,[1]ALL_DATA_MDA!$A$4:$I$80,9,0)</f>
        <v>46042.028786804272</v>
      </c>
      <c r="K3">
        <f>LN(B3)</f>
        <v>8.0548815031958743</v>
      </c>
      <c r="L3">
        <f>+LN(B2)</f>
        <v>8.0263139754591855</v>
      </c>
      <c r="M3" s="6">
        <f>B3/D3</f>
        <v>1.2430133749470667E-2</v>
      </c>
      <c r="O3" s="6">
        <f>B3/G3</f>
        <v>9.459278967611888E-3</v>
      </c>
      <c r="P3" s="6"/>
      <c r="Q3">
        <f>LN(D3)</f>
        <v>12.442513116498427</v>
      </c>
      <c r="R3">
        <f>LN(G3)</f>
        <v>12.715640621087557</v>
      </c>
      <c r="S3">
        <f>LN(C3)</f>
        <v>10.89776594261525</v>
      </c>
      <c r="T3">
        <f>LN(E3)</f>
        <v>3.971490655690026</v>
      </c>
    </row>
    <row r="4" spans="1:21" x14ac:dyDescent="0.35">
      <c r="A4" s="1">
        <v>43983</v>
      </c>
      <c r="B4" s="3">
        <v>3266.26</v>
      </c>
      <c r="C4" s="5">
        <f>VLOOKUP(A4,[1]ALL_DATA_MDA!$A$2:$E$80,5,0)</f>
        <v>68303.041348210216</v>
      </c>
      <c r="D4" s="5">
        <f>VLOOKUP(A4,[1]ALL_DATA_MDA!$A$2:$E$80,2,0)</f>
        <v>301287.16546886868</v>
      </c>
      <c r="E4" s="5">
        <f>VLOOKUP(A4,[1]ALL_DATA_MDA!$A$2:$C$80,3,0)</f>
        <v>30.23761363636363</v>
      </c>
      <c r="F4" s="5">
        <f>VLOOKUP(A4,[1]ALL_DATA_MDA!$A$1:$D$80,4,0)</f>
        <v>1659105.303242442</v>
      </c>
      <c r="G4">
        <f>VLOOKUP(A4,[1]ALL_DATA_MDA!$A$4:$I$80,6,0)</f>
        <v>243546.15527789955</v>
      </c>
      <c r="H4">
        <f>VLOOKUP(A4,[1]ALL_DATA_MDA!$A$4:$I$80,7,0)</f>
        <v>37.407822966507176</v>
      </c>
      <c r="I4">
        <f>VLOOKUP(A4,[1]ALL_DATA_MDA!$A$4:$I$80,8,0)</f>
        <v>1367764.6217284221</v>
      </c>
      <c r="J4">
        <f>VLOOKUP(A4,[1]ALL_DATA_MDA!$A$4:$I$80,9,0)</f>
        <v>60376.500316289494</v>
      </c>
      <c r="K4">
        <f t="shared" ref="K4:K28" si="0">LN(B4)</f>
        <v>8.0914008784451372</v>
      </c>
      <c r="L4">
        <f t="shared" ref="L4:L28" si="1">+LN(B3)</f>
        <v>8.0548815031958743</v>
      </c>
      <c r="M4" s="6">
        <f t="shared" ref="M4:M28" si="2">B4/D4</f>
        <v>1.084101938068615E-2</v>
      </c>
      <c r="N4" s="7">
        <f>AVERAGE(M3:M4)</f>
        <v>1.1635576565078409E-2</v>
      </c>
      <c r="O4" s="6">
        <f t="shared" ref="O4:O28" si="3">B4/G4</f>
        <v>1.3411256672366756E-2</v>
      </c>
      <c r="P4" s="6">
        <f>AVERAGE(O3:O4)</f>
        <v>1.1435267819989322E-2</v>
      </c>
      <c r="Q4">
        <f t="shared" ref="Q4:Q28" si="4">LN(D4)</f>
        <v>12.615819127028461</v>
      </c>
      <c r="R4">
        <f t="shared" ref="R4:R28" si="5">LN(G4)</f>
        <v>12.403061752938456</v>
      </c>
      <c r="S4">
        <f t="shared" ref="S4:S28" si="6">LN(C4)</f>
        <v>11.131709573823855</v>
      </c>
      <c r="T4">
        <f t="shared" ref="T4:T28" si="7">LN(E4)</f>
        <v>3.4090866340560333</v>
      </c>
      <c r="U4">
        <f>Q4-Q3</f>
        <v>0.17330601053003392</v>
      </c>
    </row>
    <row r="5" spans="1:21" x14ac:dyDescent="0.35">
      <c r="A5" s="1">
        <v>44075</v>
      </c>
      <c r="B5" s="2">
        <v>3380.31</v>
      </c>
      <c r="C5" s="5">
        <f>VLOOKUP(A5,[1]ALL_DATA_MDA!$A$2:$E$80,5,0)</f>
        <v>61206.861545954293</v>
      </c>
      <c r="D5" s="5">
        <f>VLOOKUP(A5,[1]ALL_DATA_MDA!$A$2:$E$80,2,0)</f>
        <v>384403.1781930271</v>
      </c>
      <c r="E5" s="5">
        <f>VLOOKUP(A5,[1]ALL_DATA_MDA!$A$2:$C$80,3,0)</f>
        <v>21.078977272727272</v>
      </c>
      <c r="F5" s="5">
        <f>VLOOKUP(A5,[1]ALL_DATA_MDA!$A$1:$D$80,4,0)</f>
        <v>2256927.5546008139</v>
      </c>
      <c r="G5">
        <f>VLOOKUP(A5,[1]ALL_DATA_MDA!$A$4:$I$80,6,0)</f>
        <v>308444.50513367832</v>
      </c>
      <c r="H5">
        <f>VLOOKUP(A5,[1]ALL_DATA_MDA!$A$4:$I$80,7,0)</f>
        <v>29.949584714008342</v>
      </c>
      <c r="I5">
        <f>VLOOKUP(A5,[1]ALL_DATA_MDA!$A$4:$I$80,8,0)</f>
        <v>1707311.7601414404</v>
      </c>
      <c r="J5">
        <f>VLOOKUP(A5,[1]ALL_DATA_MDA!$A$4:$I$80,9,0)</f>
        <v>62701.078441315905</v>
      </c>
      <c r="K5">
        <f t="shared" si="0"/>
        <v>8.1257227002477421</v>
      </c>
      <c r="L5">
        <f t="shared" si="1"/>
        <v>8.0914008784451372</v>
      </c>
      <c r="M5" s="6">
        <f t="shared" si="2"/>
        <v>8.7936577837100655E-3</v>
      </c>
      <c r="N5" s="7">
        <f t="shared" ref="N5:N28" si="8">AVERAGE(M4:M5)</f>
        <v>9.8173385821981075E-3</v>
      </c>
      <c r="O5" s="6">
        <f t="shared" si="3"/>
        <v>1.0959216143386928E-2</v>
      </c>
      <c r="P5" s="6">
        <f t="shared" ref="P5:P27" si="9">AVERAGE(O4:O5)</f>
        <v>1.2185236407876842E-2</v>
      </c>
      <c r="Q5">
        <f t="shared" si="4"/>
        <v>12.859447223976007</v>
      </c>
      <c r="R5">
        <f t="shared" si="5"/>
        <v>12.639297220031636</v>
      </c>
      <c r="S5">
        <f t="shared" si="6"/>
        <v>11.022014578979762</v>
      </c>
      <c r="T5">
        <f t="shared" si="7"/>
        <v>3.0482762060221611</v>
      </c>
    </row>
    <row r="6" spans="1:21" x14ac:dyDescent="0.35">
      <c r="A6" s="1">
        <v>44166</v>
      </c>
      <c r="B6" s="3">
        <v>3470.54</v>
      </c>
      <c r="C6" s="5">
        <f>VLOOKUP(A6,[1]ALL_DATA_MDA!$A$2:$E$80,5,0)</f>
        <v>70513.135366875969</v>
      </c>
      <c r="D6" s="5">
        <f>VLOOKUP(A6,[1]ALL_DATA_MDA!$A$2:$E$80,2,0)</f>
        <v>518439.09354047594</v>
      </c>
      <c r="E6" s="5">
        <f>VLOOKUP(A6,[1]ALL_DATA_MDA!$A$2:$C$80,3,0)</f>
        <v>19.771363636363638</v>
      </c>
      <c r="F6" s="5">
        <f>VLOOKUP(A6,[1]ALL_DATA_MDA!$A$1:$D$80,4,0)</f>
        <v>3283623.53670893</v>
      </c>
      <c r="G6">
        <f>VLOOKUP(A6,[1]ALL_DATA_MDA!$A$4:$I$80,6,0)</f>
        <v>360280.29630155477</v>
      </c>
      <c r="H6">
        <f>VLOOKUP(A6,[1]ALL_DATA_MDA!$A$4:$I$80,7,0)</f>
        <v>26.895819102268192</v>
      </c>
      <c r="I6">
        <f>VLOOKUP(A6,[1]ALL_DATA_MDA!$A$4:$I$80,8,0)</f>
        <v>2170087.0368813197</v>
      </c>
      <c r="J6">
        <f>VLOOKUP(A6,[1]ALL_DATA_MDA!$A$4:$I$80,9,0)</f>
        <v>64460.302955042185</v>
      </c>
      <c r="K6">
        <f t="shared" si="0"/>
        <v>8.1520654804299735</v>
      </c>
      <c r="L6">
        <f t="shared" si="1"/>
        <v>8.1257227002477421</v>
      </c>
      <c r="M6" s="6">
        <f t="shared" si="2"/>
        <v>6.694209682952942E-3</v>
      </c>
      <c r="N6" s="7">
        <f t="shared" si="8"/>
        <v>7.7439337333315037E-3</v>
      </c>
      <c r="O6" s="6">
        <f t="shared" si="3"/>
        <v>9.6328887136674177E-3</v>
      </c>
      <c r="P6" s="6">
        <f t="shared" si="9"/>
        <v>1.0296052428527172E-2</v>
      </c>
      <c r="Q6">
        <f t="shared" si="4"/>
        <v>13.158577833099081</v>
      </c>
      <c r="R6">
        <f t="shared" si="5"/>
        <v>12.794637608317554</v>
      </c>
      <c r="S6">
        <f t="shared" si="6"/>
        <v>11.163554288706107</v>
      </c>
      <c r="T6">
        <f t="shared" si="7"/>
        <v>2.9842346098348962</v>
      </c>
    </row>
    <row r="7" spans="1:21" x14ac:dyDescent="0.35">
      <c r="A7" s="1">
        <v>44256</v>
      </c>
      <c r="B7" s="2">
        <v>3528.3</v>
      </c>
      <c r="C7" s="5">
        <f>VLOOKUP(A7,[1]ALL_DATA_MDA!$A$2:$E$80,5,0)</f>
        <v>75693.326357939091</v>
      </c>
      <c r="D7" s="5">
        <f>VLOOKUP(A7,[1]ALL_DATA_MDA!$A$2:$E$80,2,0)</f>
        <v>586615.22087879712</v>
      </c>
      <c r="E7" s="5">
        <f>VLOOKUP(A7,[1]ALL_DATA_MDA!$A$2:$C$80,3,0)</f>
        <v>21.931071428571425</v>
      </c>
      <c r="F7" s="5">
        <f>VLOOKUP(A7,[1]ALL_DATA_MDA!$A$1:$D$80,4,0)</f>
        <v>4688695.3129239017</v>
      </c>
      <c r="G7">
        <f>VLOOKUP(A7,[1]ALL_DATA_MDA!$A$4:$I$80,6,0)</f>
        <v>413591.74819883984</v>
      </c>
      <c r="H7">
        <f>VLOOKUP(A7,[1]ALL_DATA_MDA!$A$4:$I$80,7,0)</f>
        <v>25.825484862415433</v>
      </c>
      <c r="I7">
        <f>VLOOKUP(A7,[1]ALL_DATA_MDA!$A$4:$I$80,8,0)</f>
        <v>2718595.9871408199</v>
      </c>
      <c r="J7">
        <f>VLOOKUP(A7,[1]ALL_DATA_MDA!$A$4:$I$80,9,0)</f>
        <v>69080.862182022742</v>
      </c>
      <c r="K7">
        <f t="shared" si="0"/>
        <v>8.1685714475251014</v>
      </c>
      <c r="L7">
        <f t="shared" si="1"/>
        <v>8.1520654804299735</v>
      </c>
      <c r="M7" s="6">
        <f t="shared" si="2"/>
        <v>6.0146751642658047E-3</v>
      </c>
      <c r="N7" s="7">
        <f t="shared" si="8"/>
        <v>6.3544424236093733E-3</v>
      </c>
      <c r="O7" s="6">
        <f t="shared" si="3"/>
        <v>8.5308761970360261E-3</v>
      </c>
      <c r="P7" s="6">
        <f t="shared" si="9"/>
        <v>9.0818824553517211E-3</v>
      </c>
      <c r="Q7">
        <f t="shared" si="4"/>
        <v>13.282124382817216</v>
      </c>
      <c r="R7">
        <f t="shared" si="5"/>
        <v>12.932634650813982</v>
      </c>
      <c r="S7">
        <f t="shared" si="6"/>
        <v>11.234445276463198</v>
      </c>
      <c r="T7">
        <f t="shared" si="7"/>
        <v>3.0879044179883475</v>
      </c>
    </row>
    <row r="8" spans="1:21" x14ac:dyDescent="0.35">
      <c r="A8" s="1">
        <v>44348</v>
      </c>
      <c r="B8" s="2">
        <v>3630.67</v>
      </c>
      <c r="C8" s="5">
        <f>VLOOKUP(A8,[1]ALL_DATA_MDA!$A$2:$E$80,5,0)</f>
        <v>81098.218206319536</v>
      </c>
      <c r="D8" s="5">
        <f>VLOOKUP(A8,[1]ALL_DATA_MDA!$A$2:$E$80,2,0)</f>
        <v>691393.39530246658</v>
      </c>
      <c r="E8" s="5">
        <f>VLOOKUP(A8,[1]ALL_DATA_MDA!$A$2:$C$80,3,0)</f>
        <v>14.921818181818184</v>
      </c>
      <c r="F8" s="5">
        <f>VLOOKUP(A8,[1]ALL_DATA_MDA!$A$1:$D$80,4,0)</f>
        <v>4894655.0352812726</v>
      </c>
      <c r="G8">
        <f>VLOOKUP(A8,[1]ALL_DATA_MDA!$A$4:$I$80,6,0)</f>
        <v>629347.71319323627</v>
      </c>
      <c r="H8">
        <f>VLOOKUP(A8,[1]ALL_DATA_MDA!$A$4:$I$80,7,0)</f>
        <v>18.921689393939392</v>
      </c>
      <c r="I8">
        <f>VLOOKUP(A8,[1]ALL_DATA_MDA!$A$4:$I$80,8,0)</f>
        <v>4825861.3266194845</v>
      </c>
      <c r="J8">
        <f>VLOOKUP(A8,[1]ALL_DATA_MDA!$A$4:$I$80,9,0)</f>
        <v>82413.690548603787</v>
      </c>
      <c r="K8">
        <f t="shared" si="0"/>
        <v>8.1971724832301511</v>
      </c>
      <c r="L8">
        <f t="shared" si="1"/>
        <v>8.1685714475251014</v>
      </c>
      <c r="M8" s="6">
        <f t="shared" si="2"/>
        <v>5.2512361626070739E-3</v>
      </c>
      <c r="N8" s="7">
        <f t="shared" si="8"/>
        <v>5.6329556634364397E-3</v>
      </c>
      <c r="O8" s="6">
        <f t="shared" si="3"/>
        <v>5.7689412766408696E-3</v>
      </c>
      <c r="P8" s="6">
        <f t="shared" si="9"/>
        <v>7.1499087368384479E-3</v>
      </c>
      <c r="Q8">
        <f t="shared" si="4"/>
        <v>13.446464253780798</v>
      </c>
      <c r="R8">
        <f t="shared" si="5"/>
        <v>13.35243918611209</v>
      </c>
      <c r="S8">
        <f t="shared" si="6"/>
        <v>11.303416269533171</v>
      </c>
      <c r="T8">
        <f t="shared" si="7"/>
        <v>2.7028244494031952</v>
      </c>
    </row>
    <row r="9" spans="1:21" x14ac:dyDescent="0.35">
      <c r="A9" s="1">
        <v>44440</v>
      </c>
      <c r="B9" s="2">
        <v>3725.83</v>
      </c>
      <c r="C9" s="5">
        <f>VLOOKUP(A9,[1]ALL_DATA_MDA!$A$2:$E$80,5,0)</f>
        <v>78297.011739564026</v>
      </c>
      <c r="D9" s="5">
        <f>VLOOKUP(A9,[1]ALL_DATA_MDA!$A$2:$E$80,2,0)</f>
        <v>913105.56779519399</v>
      </c>
      <c r="E9" s="5">
        <f>VLOOKUP(A9,[1]ALL_DATA_MDA!$A$2:$C$80,3,0)</f>
        <v>15.721547619047618</v>
      </c>
      <c r="F9" s="5">
        <f>VLOOKUP(A9,[1]ALL_DATA_MDA!$A$1:$D$80,4,0)</f>
        <v>7002866.0042342264</v>
      </c>
      <c r="G9">
        <f>VLOOKUP(A9,[1]ALL_DATA_MDA!$A$4:$I$80,6,0)</f>
        <v>723950.13969367545</v>
      </c>
      <c r="H9">
        <f>VLOOKUP(A9,[1]ALL_DATA_MDA!$A$4:$I$80,7,0)</f>
        <v>16.385805014430016</v>
      </c>
      <c r="I9">
        <f>VLOOKUP(A9,[1]ALL_DATA_MDA!$A$4:$I$80,8,0)</f>
        <v>5528122.2936318889</v>
      </c>
      <c r="J9">
        <f>VLOOKUP(A9,[1]ALL_DATA_MDA!$A$4:$I$80,9,0)</f>
        <v>77827.525130523951</v>
      </c>
      <c r="K9">
        <f t="shared" si="0"/>
        <v>8.2230449247851869</v>
      </c>
      <c r="L9">
        <f t="shared" si="1"/>
        <v>8.1971724832301511</v>
      </c>
      <c r="M9" s="6">
        <f t="shared" si="2"/>
        <v>4.0803934741045073E-3</v>
      </c>
      <c r="N9" s="7">
        <f t="shared" si="8"/>
        <v>4.6658148183557902E-3</v>
      </c>
      <c r="O9" s="6">
        <f t="shared" si="3"/>
        <v>5.1465284633780278E-3</v>
      </c>
      <c r="P9" s="6">
        <f t="shared" si="9"/>
        <v>5.4577348700094487E-3</v>
      </c>
      <c r="Q9">
        <f t="shared" si="4"/>
        <v>13.724606780269768</v>
      </c>
      <c r="R9">
        <f t="shared" si="5"/>
        <v>13.49247780116994</v>
      </c>
      <c r="S9">
        <f t="shared" si="6"/>
        <v>11.268264717004952</v>
      </c>
      <c r="T9">
        <f t="shared" si="7"/>
        <v>2.7550322312041016</v>
      </c>
    </row>
    <row r="10" spans="1:21" x14ac:dyDescent="0.35">
      <c r="A10" s="1">
        <v>44531</v>
      </c>
      <c r="B10" s="2">
        <v>3856.72</v>
      </c>
      <c r="C10" s="5">
        <f>VLOOKUP(A10,[1]ALL_DATA_MDA!$A$2:$E$80,5,0)</f>
        <v>60133.109102888906</v>
      </c>
      <c r="D10" s="5">
        <f>VLOOKUP(A10,[1]ALL_DATA_MDA!$A$2:$E$80,2,0)</f>
        <v>922403.33660535607</v>
      </c>
      <c r="E10" s="5">
        <f>VLOOKUP(A10,[1]ALL_DATA_MDA!$A$2:$C$80,3,0)</f>
        <v>17.178478260869568</v>
      </c>
      <c r="F10" s="5">
        <f>VLOOKUP(A10,[1]ALL_DATA_MDA!$A$1:$D$80,4,0)</f>
        <v>7741038.3718543639</v>
      </c>
      <c r="G10">
        <f>VLOOKUP(A10,[1]ALL_DATA_MDA!$A$4:$I$80,6,0)</f>
        <v>792356.60170443496</v>
      </c>
      <c r="H10">
        <f>VLOOKUP(A10,[1]ALL_DATA_MDA!$A$4:$I$80,7,0)</f>
        <v>16.595075927494406</v>
      </c>
      <c r="I10">
        <f>VLOOKUP(A10,[1]ALL_DATA_MDA!$A$4:$I$80,8,0)</f>
        <v>6217247.2507606521</v>
      </c>
      <c r="J10">
        <f>VLOOKUP(A10,[1]ALL_DATA_MDA!$A$4:$I$80,9,0)</f>
        <v>77614.463419561638</v>
      </c>
      <c r="K10">
        <f t="shared" si="0"/>
        <v>8.2575723602917552</v>
      </c>
      <c r="L10">
        <f t="shared" si="1"/>
        <v>8.2230449247851869</v>
      </c>
      <c r="M10" s="6">
        <f t="shared" si="2"/>
        <v>4.1811644070950177E-3</v>
      </c>
      <c r="N10" s="7">
        <f t="shared" si="8"/>
        <v>4.1307789405997629E-3</v>
      </c>
      <c r="O10" s="6">
        <f t="shared" si="3"/>
        <v>4.8674043880038683E-3</v>
      </c>
      <c r="P10" s="6">
        <f t="shared" si="9"/>
        <v>5.0069664256909476E-3</v>
      </c>
      <c r="Q10">
        <f t="shared" si="4"/>
        <v>13.734737865238939</v>
      </c>
      <c r="R10">
        <f t="shared" si="5"/>
        <v>13.582766824139659</v>
      </c>
      <c r="S10">
        <f t="shared" si="6"/>
        <v>11.004315869047941</v>
      </c>
      <c r="T10">
        <f t="shared" si="7"/>
        <v>2.843657336432166</v>
      </c>
    </row>
    <row r="11" spans="1:21" x14ac:dyDescent="0.35">
      <c r="A11" s="1">
        <v>44621</v>
      </c>
      <c r="B11" s="2">
        <v>3971.25</v>
      </c>
      <c r="C11" s="5">
        <f>VLOOKUP(A11,[1]ALL_DATA_MDA!$A$2:$E$80,5,0)</f>
        <v>73180.323214307995</v>
      </c>
      <c r="D11" s="5">
        <f>VLOOKUP(A11,[1]ALL_DATA_MDA!$A$2:$E$80,2,0)</f>
        <v>967157.61316651455</v>
      </c>
      <c r="E11" s="5">
        <f>VLOOKUP(A11,[1]ALL_DATA_MDA!$A$2:$C$80,3,0)</f>
        <v>25.079761904761909</v>
      </c>
      <c r="F11" s="5">
        <f>VLOOKUP(A11,[1]ALL_DATA_MDA!$A$1:$D$80,4,0)</f>
        <v>9698039.7837726735</v>
      </c>
      <c r="G11">
        <f>VLOOKUP(A11,[1]ALL_DATA_MDA!$A$4:$I$80,6,0)</f>
        <v>830644.59977770736</v>
      </c>
      <c r="H11">
        <f>VLOOKUP(A11,[1]ALL_DATA_MDA!$A$4:$I$80,7,0)</f>
        <v>17.910026687684297</v>
      </c>
      <c r="I11">
        <f>VLOOKUP(A11,[1]ALL_DATA_MDA!$A$4:$I$80,8,0)</f>
        <v>7083951.8711338453</v>
      </c>
      <c r="J11">
        <f>VLOOKUP(A11,[1]ALL_DATA_MDA!$A$4:$I$80,9,0)</f>
        <v>75973.325404425341</v>
      </c>
      <c r="K11">
        <f t="shared" si="0"/>
        <v>8.2868361855837254</v>
      </c>
      <c r="L11">
        <f t="shared" si="1"/>
        <v>8.2575723602917552</v>
      </c>
      <c r="M11" s="6">
        <f t="shared" si="2"/>
        <v>4.1061042646378613E-3</v>
      </c>
      <c r="N11" s="7">
        <f t="shared" si="8"/>
        <v>4.143634335866439E-3</v>
      </c>
      <c r="O11" s="6">
        <f t="shared" si="3"/>
        <v>4.7809255619825431E-3</v>
      </c>
      <c r="P11" s="6">
        <f t="shared" si="9"/>
        <v>4.8241649749932057E-3</v>
      </c>
      <c r="Q11">
        <f t="shared" si="4"/>
        <v>13.782116753052883</v>
      </c>
      <c r="R11">
        <f t="shared" si="5"/>
        <v>13.629957304592875</v>
      </c>
      <c r="S11">
        <f t="shared" si="6"/>
        <v>11.200681855266204</v>
      </c>
      <c r="T11">
        <f t="shared" si="7"/>
        <v>3.2220612222891112</v>
      </c>
    </row>
    <row r="12" spans="1:21" x14ac:dyDescent="0.35">
      <c r="A12" s="1">
        <v>44713</v>
      </c>
      <c r="B12" s="2">
        <v>4099.26</v>
      </c>
      <c r="C12" s="5">
        <f>VLOOKUP(A12,[1]ALL_DATA_MDA!$A$2:$E$80,5,0)</f>
        <v>48968.568805764342</v>
      </c>
      <c r="D12" s="5">
        <f>VLOOKUP(A12,[1]ALL_DATA_MDA!$A$2:$E$80,2,0)</f>
        <v>950762.48687366548</v>
      </c>
      <c r="E12" s="5">
        <f>VLOOKUP(A12,[1]ALL_DATA_MDA!$A$2:$C$80,3,0)</f>
        <v>21.128409090909091</v>
      </c>
      <c r="F12" s="5">
        <f>VLOOKUP(A12,[1]ALL_DATA_MDA!$A$1:$D$80,4,0)</f>
        <v>11104983.887868512</v>
      </c>
      <c r="G12">
        <f>VLOOKUP(A12,[1]ALL_DATA_MDA!$A$4:$I$80,6,0)</f>
        <v>955117.64230254572</v>
      </c>
      <c r="H12">
        <f>VLOOKUP(A12,[1]ALL_DATA_MDA!$A$4:$I$80,7,0)</f>
        <v>20.869910382015647</v>
      </c>
      <c r="I12">
        <f>VLOOKUP(A12,[1]ALL_DATA_MDA!$A$4:$I$80,8,0)</f>
        <v>10646619.768714631</v>
      </c>
      <c r="J12">
        <f>VLOOKUP(A12,[1]ALL_DATA_MDA!$A$4:$I$80,9,0)</f>
        <v>63877.440974155856</v>
      </c>
      <c r="K12">
        <f t="shared" si="0"/>
        <v>8.318561748597638</v>
      </c>
      <c r="L12">
        <f t="shared" si="1"/>
        <v>8.2868361855837254</v>
      </c>
      <c r="M12" s="6">
        <f t="shared" si="2"/>
        <v>4.3115499997053398E-3</v>
      </c>
      <c r="N12" s="7">
        <f t="shared" si="8"/>
        <v>4.2088271321716001E-3</v>
      </c>
      <c r="O12" s="6">
        <f t="shared" si="3"/>
        <v>4.291890148859283E-3</v>
      </c>
      <c r="P12" s="6">
        <f t="shared" si="9"/>
        <v>4.536407855420913E-3</v>
      </c>
      <c r="Q12">
        <f t="shared" si="4"/>
        <v>13.765019559413085</v>
      </c>
      <c r="R12">
        <f t="shared" si="5"/>
        <v>13.769589797533254</v>
      </c>
      <c r="S12">
        <f t="shared" si="6"/>
        <v>10.798933918330219</v>
      </c>
      <c r="T12">
        <f t="shared" si="7"/>
        <v>3.0506185373078107</v>
      </c>
    </row>
    <row r="13" spans="1:21" x14ac:dyDescent="0.35">
      <c r="A13" s="1">
        <v>44805</v>
      </c>
      <c r="B13" s="2">
        <v>4245.78</v>
      </c>
      <c r="C13" s="5">
        <f>VLOOKUP(A13,[1]ALL_DATA_MDA!$A$2:$E$80,5,0)</f>
        <v>69738.444432646938</v>
      </c>
      <c r="D13" s="5">
        <f>VLOOKUP(A13,[1]ALL_DATA_MDA!$A$2:$E$80,2,0)</f>
        <v>1159872.1494074161</v>
      </c>
      <c r="E13" s="5">
        <f>VLOOKUP(A13,[1]ALL_DATA_MDA!$A$2:$C$80,3,0)</f>
        <v>19.554318181818179</v>
      </c>
      <c r="F13" s="5">
        <f>VLOOKUP(A13,[1]ALL_DATA_MDA!$A$1:$D$80,4,0)</f>
        <v>15238984.568565637</v>
      </c>
      <c r="G13">
        <f>VLOOKUP(A13,[1]ALL_DATA_MDA!$A$4:$I$80,6,0)</f>
        <v>1012007.2921562471</v>
      </c>
      <c r="H13">
        <f>VLOOKUP(A13,[1]ALL_DATA_MDA!$A$4:$I$80,7,0)</f>
        <v>19.839727467342598</v>
      </c>
      <c r="I13">
        <f>VLOOKUP(A13,[1]ALL_DATA_MDA!$A$4:$I$80,8,0)</f>
        <v>11990761.717337778</v>
      </c>
      <c r="J13">
        <f>VLOOKUP(A13,[1]ALL_DATA_MDA!$A$4:$I$80,9,0)</f>
        <v>63176.094884008322</v>
      </c>
      <c r="K13">
        <f t="shared" si="0"/>
        <v>8.3536808274493346</v>
      </c>
      <c r="L13">
        <f t="shared" si="1"/>
        <v>8.318561748597638</v>
      </c>
      <c r="M13" s="6">
        <f t="shared" si="2"/>
        <v>3.6605586246459903E-3</v>
      </c>
      <c r="N13" s="7">
        <f t="shared" si="8"/>
        <v>3.9860543121756648E-3</v>
      </c>
      <c r="O13" s="6">
        <f t="shared" si="3"/>
        <v>4.1954045518324979E-3</v>
      </c>
      <c r="P13" s="6">
        <f t="shared" si="9"/>
        <v>4.2436473503458909E-3</v>
      </c>
      <c r="Q13">
        <f t="shared" si="4"/>
        <v>13.963820340980226</v>
      </c>
      <c r="R13">
        <f t="shared" si="5"/>
        <v>13.827446334491578</v>
      </c>
      <c r="S13">
        <f t="shared" si="6"/>
        <v>11.152507014742088</v>
      </c>
      <c r="T13">
        <f t="shared" si="7"/>
        <v>2.9731961409066097</v>
      </c>
    </row>
    <row r="14" spans="1:21" x14ac:dyDescent="0.35">
      <c r="A14" s="1">
        <v>44896</v>
      </c>
      <c r="B14" s="2">
        <v>5197.37</v>
      </c>
      <c r="C14" s="5">
        <f>VLOOKUP(A14,[1]ALL_DATA_MDA!$A$2:$E$80,5,0)</f>
        <v>59574.818521501271</v>
      </c>
      <c r="D14" s="5">
        <f>VLOOKUP(A14,[1]ALL_DATA_MDA!$A$2:$E$80,2,0)</f>
        <v>1335905.4074401341</v>
      </c>
      <c r="E14" s="5">
        <f>VLOOKUP(A14,[1]ALL_DATA_MDA!$A$2:$C$80,3,0)</f>
        <v>14.225681818181817</v>
      </c>
      <c r="F14" s="5">
        <f>VLOOKUP(A14,[1]ALL_DATA_MDA!$A$1:$D$80,4,0)</f>
        <v>19085781.306538139</v>
      </c>
      <c r="G14">
        <f>VLOOKUP(A14,[1]ALL_DATA_MDA!$A$4:$I$80,6,0)</f>
        <v>1082961.8612254788</v>
      </c>
      <c r="H14">
        <f>VLOOKUP(A14,[1]ALL_DATA_MDA!$A$4:$I$80,7,0)</f>
        <v>18.486060178856231</v>
      </c>
      <c r="I14">
        <f>VLOOKUP(A14,[1]ALL_DATA_MDA!$A$4:$I$80,8,0)</f>
        <v>13425197.324929878</v>
      </c>
      <c r="J14">
        <f>VLOOKUP(A14,[1]ALL_DATA_MDA!$A$4:$I$80,9,0)</f>
        <v>61826.094155109786</v>
      </c>
      <c r="K14">
        <f t="shared" si="0"/>
        <v>8.5559080073943505</v>
      </c>
      <c r="L14">
        <f t="shared" si="1"/>
        <v>8.3536808274493346</v>
      </c>
      <c r="M14" s="6">
        <f t="shared" si="2"/>
        <v>3.8905224659275955E-3</v>
      </c>
      <c r="N14" s="7">
        <f t="shared" si="8"/>
        <v>3.7755405452867931E-3</v>
      </c>
      <c r="O14" s="6">
        <f t="shared" si="3"/>
        <v>4.7992179467138945E-3</v>
      </c>
      <c r="P14" s="6">
        <f t="shared" si="9"/>
        <v>4.4973112492731962E-3</v>
      </c>
      <c r="Q14">
        <f t="shared" si="4"/>
        <v>14.10511982775782</v>
      </c>
      <c r="R14">
        <f t="shared" si="5"/>
        <v>13.895210309504751</v>
      </c>
      <c r="S14">
        <f t="shared" si="6"/>
        <v>10.994988255743273</v>
      </c>
      <c r="T14">
        <f t="shared" si="7"/>
        <v>2.6550489098431314</v>
      </c>
    </row>
    <row r="15" spans="1:21" x14ac:dyDescent="0.35">
      <c r="A15" s="1">
        <v>44986</v>
      </c>
      <c r="B15" s="2">
        <v>4797.2299999999996</v>
      </c>
      <c r="C15" s="5">
        <f>VLOOKUP(A15,[1]ALL_DATA_MDA!$A$2:$E$80,5,0)</f>
        <v>54508.226142164676</v>
      </c>
      <c r="D15" s="5">
        <f>VLOOKUP(A15,[1]ALL_DATA_MDA!$A$2:$E$80,2,0)</f>
        <v>1369359.4319476932</v>
      </c>
      <c r="E15" s="5">
        <f>VLOOKUP(A15,[1]ALL_DATA_MDA!$A$2:$C$80,3,0)</f>
        <v>14.35464285714286</v>
      </c>
      <c r="F15" s="5">
        <f>VLOOKUP(A15,[1]ALL_DATA_MDA!$A$1:$D$80,4,0)</f>
        <v>23472029.381664127</v>
      </c>
      <c r="G15">
        <f>VLOOKUP(A15,[1]ALL_DATA_MDA!$A$4:$I$80,6,0)</f>
        <v>1144457.9223950868</v>
      </c>
      <c r="H15">
        <f>VLOOKUP(A15,[1]ALL_DATA_MDA!$A$4:$I$80,7,0)</f>
        <v>17.483136900015189</v>
      </c>
      <c r="I15">
        <f>VLOOKUP(A15,[1]ALL_DATA_MDA!$A$4:$I$80,8,0)</f>
        <v>15425306.095921926</v>
      </c>
      <c r="J15">
        <f>VLOOKUP(A15,[1]ALL_DATA_MDA!$A$4:$I$80,9,0)</f>
        <v>60124.993558864961</v>
      </c>
      <c r="K15">
        <f t="shared" si="0"/>
        <v>8.4757939469859735</v>
      </c>
      <c r="L15">
        <f t="shared" si="1"/>
        <v>8.5559080073943505</v>
      </c>
      <c r="M15" s="6">
        <f t="shared" si="2"/>
        <v>3.5032657519119817E-3</v>
      </c>
      <c r="N15" s="7">
        <f t="shared" si="8"/>
        <v>3.6968941089197886E-3</v>
      </c>
      <c r="O15" s="6">
        <f t="shared" si="3"/>
        <v>4.1917050038506459E-3</v>
      </c>
      <c r="P15" s="6">
        <f t="shared" si="9"/>
        <v>4.4954614752822702E-3</v>
      </c>
      <c r="Q15">
        <f t="shared" si="4"/>
        <v>14.129853620538951</v>
      </c>
      <c r="R15">
        <f t="shared" si="5"/>
        <v>13.950441652644374</v>
      </c>
      <c r="S15">
        <f t="shared" si="6"/>
        <v>10.906106907649626</v>
      </c>
      <c r="T15">
        <f t="shared" si="7"/>
        <v>2.6640734339283076</v>
      </c>
    </row>
    <row r="16" spans="1:21" x14ac:dyDescent="0.35">
      <c r="A16" s="1">
        <v>45078</v>
      </c>
      <c r="B16" s="2">
        <v>5197.37</v>
      </c>
      <c r="C16" s="5">
        <f>VLOOKUP(A16,[1]ALL_DATA_MDA!$A$2:$E$80,5,0)</f>
        <v>70178.798810089414</v>
      </c>
      <c r="D16" s="5">
        <f>VLOOKUP(A16,[1]ALL_DATA_MDA!$A$2:$E$80,2,0)</f>
        <v>1666038.5811597346</v>
      </c>
      <c r="E16" s="5">
        <f>VLOOKUP(A16,[1]ALL_DATA_MDA!$A$2:$C$80,3,0)</f>
        <v>11.180476190476192</v>
      </c>
      <c r="F16" s="5">
        <f>VLOOKUP(A16,[1]ALL_DATA_MDA!$A$1:$D$80,4,0)</f>
        <v>25821331.049052782</v>
      </c>
      <c r="G16">
        <f>VLOOKUP(A16,[1]ALL_DATA_MDA!$A$4:$I$80,6,0)</f>
        <v>1548174.4231967386</v>
      </c>
      <c r="H16">
        <f>VLOOKUP(A16,[1]ALL_DATA_MDA!$A$4:$I$80,7,0)</f>
        <v>11.87740249129955</v>
      </c>
      <c r="I16">
        <f>VLOOKUP(A16,[1]ALL_DATA_MDA!$A$4:$I$80,8,0)</f>
        <v>25054653.264734786</v>
      </c>
      <c r="J16">
        <f>VLOOKUP(A16,[1]ALL_DATA_MDA!$A$4:$I$80,9,0)</f>
        <v>64361.874296552931</v>
      </c>
      <c r="K16">
        <f t="shared" si="0"/>
        <v>8.5559080073943505</v>
      </c>
      <c r="L16">
        <f t="shared" si="1"/>
        <v>8.4757939469859735</v>
      </c>
      <c r="M16" s="6">
        <f t="shared" si="2"/>
        <v>3.1195976244332195E-3</v>
      </c>
      <c r="N16" s="7">
        <f t="shared" si="8"/>
        <v>3.3114316881726006E-3</v>
      </c>
      <c r="O16" s="6">
        <f t="shared" si="3"/>
        <v>3.3570958944459514E-3</v>
      </c>
      <c r="P16" s="6">
        <f t="shared" si="9"/>
        <v>3.7744004491482987E-3</v>
      </c>
      <c r="Q16">
        <f t="shared" si="4"/>
        <v>14.325959259399808</v>
      </c>
      <c r="R16">
        <f t="shared" si="5"/>
        <v>14.252587003267973</v>
      </c>
      <c r="S16">
        <f t="shared" si="6"/>
        <v>11.158801533147033</v>
      </c>
      <c r="T16">
        <f t="shared" si="7"/>
        <v>2.4141690598857433</v>
      </c>
    </row>
    <row r="17" spans="1:20" x14ac:dyDescent="0.35">
      <c r="A17" s="1">
        <v>45170</v>
      </c>
      <c r="B17" s="2">
        <v>5941.18</v>
      </c>
      <c r="C17" s="5">
        <f>VLOOKUP(A17,[1]ALL_DATA_MDA!$A$2:$E$80,5,0)</f>
        <v>93248.859006593659</v>
      </c>
      <c r="D17" s="5">
        <f>VLOOKUP(A17,[1]ALL_DATA_MDA!$A$2:$E$80,2,0)</f>
        <v>1872309.326720899</v>
      </c>
      <c r="E17" s="5">
        <f>VLOOKUP(A17,[1]ALL_DATA_MDA!$A$2:$C$80,3,0)</f>
        <v>11.197125</v>
      </c>
      <c r="F17" s="5">
        <f>VLOOKUP(A17,[1]ALL_DATA_MDA!$A$1:$D$80,4,0)</f>
        <v>35680434.778807446</v>
      </c>
      <c r="G17">
        <f>VLOOKUP(A17,[1]ALL_DATA_MDA!$A$4:$I$80,6,0)</f>
        <v>1682162.4394328308</v>
      </c>
      <c r="H17">
        <f>VLOOKUP(A17,[1]ALL_DATA_MDA!$A$4:$I$80,7,0)</f>
        <v>11.608127382013413</v>
      </c>
      <c r="I17">
        <f>VLOOKUP(A17,[1]ALL_DATA_MDA!$A$4:$I$80,8,0)</f>
        <v>28789790.540865015</v>
      </c>
      <c r="J17">
        <f>VLOOKUP(A17,[1]ALL_DATA_MDA!$A$4:$I$80,9,0)</f>
        <v>75659.561559623049</v>
      </c>
      <c r="K17">
        <f t="shared" si="0"/>
        <v>8.6896630458264106</v>
      </c>
      <c r="L17">
        <f t="shared" si="1"/>
        <v>8.5559080073943505</v>
      </c>
      <c r="M17" s="6">
        <f t="shared" si="2"/>
        <v>3.1731829325473628E-3</v>
      </c>
      <c r="N17" s="7">
        <f t="shared" si="8"/>
        <v>3.1463902784902914E-3</v>
      </c>
      <c r="O17" s="6">
        <f t="shared" si="3"/>
        <v>3.5318705618008974E-3</v>
      </c>
      <c r="P17" s="6">
        <f t="shared" si="9"/>
        <v>3.4444832281234246E-3</v>
      </c>
      <c r="Q17">
        <f t="shared" si="4"/>
        <v>14.442683161002234</v>
      </c>
      <c r="R17">
        <f t="shared" si="5"/>
        <v>14.335590690020101</v>
      </c>
      <c r="S17">
        <f t="shared" si="6"/>
        <v>11.44302710157698</v>
      </c>
      <c r="T17">
        <f t="shared" si="7"/>
        <v>2.41565704892031</v>
      </c>
    </row>
    <row r="18" spans="1:20" x14ac:dyDescent="0.35">
      <c r="A18" s="1">
        <v>45261</v>
      </c>
      <c r="B18" s="2">
        <v>6636.76</v>
      </c>
      <c r="C18" s="5">
        <f>VLOOKUP(A18,[1]ALL_DATA_MDA!$A$2:$E$80,5,0)</f>
        <v>119557.19901648766</v>
      </c>
      <c r="D18" s="5">
        <f>VLOOKUP(A18,[1]ALL_DATA_MDA!$A$2:$E$80,2,0)</f>
        <v>2102335.7054934455</v>
      </c>
      <c r="E18" s="5">
        <f>VLOOKUP(A18,[1]ALL_DATA_MDA!$A$2:$C$80,3,0)</f>
        <v>13.512874999999999</v>
      </c>
      <c r="F18" s="5">
        <f>VLOOKUP(A18,[1]ALL_DATA_MDA!$A$1:$D$80,4,0)</f>
        <v>44922456.588374816</v>
      </c>
      <c r="G18">
        <f>VLOOKUP(A18,[1]ALL_DATA_MDA!$A$4:$I$80,6,0)</f>
        <v>1773545.1178908767</v>
      </c>
      <c r="H18">
        <f>VLOOKUP(A18,[1]ALL_DATA_MDA!$A$4:$I$80,7,0)</f>
        <v>11.760455953088305</v>
      </c>
      <c r="I18">
        <f>VLOOKUP(A18,[1]ALL_DATA_MDA!$A$4:$I$80,8,0)</f>
        <v>32093910.650926847</v>
      </c>
      <c r="J18">
        <f>VLOOKUP(A18,[1]ALL_DATA_MDA!$A$4:$I$80,9,0)</f>
        <v>81097.136127567894</v>
      </c>
      <c r="K18">
        <f t="shared" si="0"/>
        <v>8.8003791715760276</v>
      </c>
      <c r="L18">
        <f t="shared" si="1"/>
        <v>8.6896630458264106</v>
      </c>
      <c r="M18" s="6">
        <f t="shared" si="2"/>
        <v>3.1568507268644169E-3</v>
      </c>
      <c r="N18" s="7">
        <f t="shared" si="8"/>
        <v>3.1650168297058896E-3</v>
      </c>
      <c r="O18" s="6">
        <f t="shared" si="3"/>
        <v>3.742086926941291E-3</v>
      </c>
      <c r="P18" s="6">
        <f t="shared" si="9"/>
        <v>3.6369787443710942E-3</v>
      </c>
      <c r="Q18">
        <f t="shared" si="4"/>
        <v>14.558559525323377</v>
      </c>
      <c r="R18">
        <f t="shared" si="5"/>
        <v>14.388490992900909</v>
      </c>
      <c r="S18">
        <f t="shared" si="6"/>
        <v>11.691550188693602</v>
      </c>
      <c r="T18">
        <f t="shared" si="7"/>
        <v>2.603642934661651</v>
      </c>
    </row>
    <row r="19" spans="1:20" x14ac:dyDescent="0.35">
      <c r="A19" s="1">
        <v>45352</v>
      </c>
      <c r="B19" s="2">
        <v>8818.99</v>
      </c>
      <c r="C19" s="5">
        <f>VLOOKUP(A19,[1]ALL_DATA_MDA!$A$2:$E$80,5,0)</f>
        <v>116014.91521431155</v>
      </c>
      <c r="D19" s="5">
        <f>VLOOKUP(A19,[1]ALL_DATA_MDA!$A$2:$E$80,2,0)</f>
        <v>2138084.9010960306</v>
      </c>
      <c r="E19" s="5">
        <f>VLOOKUP(A19,[1]ALL_DATA_MDA!$A$2:$C$80,3,0)</f>
        <v>13.756842105263157</v>
      </c>
      <c r="F19" s="5">
        <f>VLOOKUP(A19,[1]ALL_DATA_MDA!$A$1:$D$80,4,0)</f>
        <v>48237727.605657011</v>
      </c>
      <c r="G19">
        <f>VLOOKUP(A19,[1]ALL_DATA_MDA!$A$4:$I$80,6,0)</f>
        <v>1865547.3766541586</v>
      </c>
      <c r="H19">
        <f>VLOOKUP(A19,[1]ALL_DATA_MDA!$A$4:$I$80,7,0)</f>
        <v>12.436604780947468</v>
      </c>
      <c r="I19">
        <f>VLOOKUP(A19,[1]ALL_DATA_MDA!$A$4:$I$80,8,0)</f>
        <v>35926833.283691794</v>
      </c>
      <c r="J19">
        <f>VLOOKUP(A19,[1]ALL_DATA_MDA!$A$4:$I$80,9,0)</f>
        <v>92440.379579920205</v>
      </c>
      <c r="K19">
        <f t="shared" si="0"/>
        <v>9.0846626299721276</v>
      </c>
      <c r="L19">
        <f t="shared" si="1"/>
        <v>8.8003791715760276</v>
      </c>
      <c r="M19" s="6">
        <f t="shared" si="2"/>
        <v>4.1247145964499292E-3</v>
      </c>
      <c r="N19" s="7">
        <f t="shared" si="8"/>
        <v>3.640782661657173E-3</v>
      </c>
      <c r="O19" s="6">
        <f t="shared" si="3"/>
        <v>4.727293506647242E-3</v>
      </c>
      <c r="P19" s="6">
        <f t="shared" si="9"/>
        <v>4.2346902167942667E-3</v>
      </c>
      <c r="Q19">
        <f t="shared" si="4"/>
        <v>14.575421080300684</v>
      </c>
      <c r="R19">
        <f t="shared" si="5"/>
        <v>14.439065067543952</v>
      </c>
      <c r="S19">
        <f t="shared" si="6"/>
        <v>11.661474041256595</v>
      </c>
      <c r="T19">
        <f t="shared" si="7"/>
        <v>2.6215363080024492</v>
      </c>
    </row>
    <row r="20" spans="1:20" x14ac:dyDescent="0.35">
      <c r="A20" s="1">
        <v>45444</v>
      </c>
      <c r="B20" s="2">
        <v>9130.2800000000007</v>
      </c>
      <c r="C20" s="5">
        <f>VLOOKUP(A20,[1]ALL_DATA_MDA!$A$2:$E$80,5,0)</f>
        <v>172986.73988465717</v>
      </c>
      <c r="D20" s="5">
        <f>VLOOKUP(A20,[1]ALL_DATA_MDA!$A$2:$E$80,2,0)</f>
        <v>2356652.8165251957</v>
      </c>
      <c r="E20" s="5">
        <f>VLOOKUP(A20,[1]ALL_DATA_MDA!$A$2:$C$80,3,0)</f>
        <v>15.562368421052632</v>
      </c>
      <c r="F20" s="5">
        <f>VLOOKUP(A20,[1]ALL_DATA_MDA!$A$1:$D$80,4,0)</f>
        <v>49681649.52909065</v>
      </c>
      <c r="G20">
        <f>VLOOKUP(A20,[1]ALL_DATA_MDA!$A$4:$I$80,6,0)</f>
        <v>2256819.4668987463</v>
      </c>
      <c r="H20">
        <f>VLOOKUP(A20,[1]ALL_DATA_MDA!$A$4:$I$80,7,0)</f>
        <v>15.82038038277512</v>
      </c>
      <c r="I20">
        <f>VLOOKUP(A20,[1]ALL_DATA_MDA!$A$4:$I$80,8,0)</f>
        <v>46379464.534187101</v>
      </c>
      <c r="J20">
        <f>VLOOKUP(A20,[1]ALL_DATA_MDA!$A$4:$I$80,9,0)</f>
        <v>140354.23306817259</v>
      </c>
      <c r="K20">
        <f t="shared" si="0"/>
        <v>9.1193516412458102</v>
      </c>
      <c r="L20">
        <f t="shared" si="1"/>
        <v>9.0846626299721276</v>
      </c>
      <c r="M20" s="6">
        <f t="shared" si="2"/>
        <v>3.8742575639386235E-3</v>
      </c>
      <c r="N20" s="7">
        <f t="shared" si="8"/>
        <v>3.9994860801942766E-3</v>
      </c>
      <c r="O20" s="6">
        <f t="shared" si="3"/>
        <v>4.0456403952180359E-3</v>
      </c>
      <c r="P20" s="6">
        <f t="shared" si="9"/>
        <v>4.3864669509326385E-3</v>
      </c>
      <c r="Q20">
        <f t="shared" si="4"/>
        <v>14.672752872182508</v>
      </c>
      <c r="R20">
        <f t="shared" si="5"/>
        <v>14.629467064518376</v>
      </c>
      <c r="S20">
        <f t="shared" si="6"/>
        <v>12.060970222476737</v>
      </c>
      <c r="T20">
        <f t="shared" si="7"/>
        <v>2.7448557193170635</v>
      </c>
    </row>
    <row r="21" spans="1:20" x14ac:dyDescent="0.35">
      <c r="A21" s="1">
        <v>45536</v>
      </c>
      <c r="B21" s="2">
        <v>9428.5499999999993</v>
      </c>
      <c r="C21" s="5">
        <f>VLOOKUP(A21,[1]ALL_DATA_MDA!$A$2:$E$80,5,0)</f>
        <v>135382.62796746386</v>
      </c>
      <c r="D21" s="5">
        <f>VLOOKUP(A21,[1]ALL_DATA_MDA!$A$2:$E$80,2,0)</f>
        <v>2765841.1152776815</v>
      </c>
      <c r="E21" s="5">
        <f>VLOOKUP(A21,[1]ALL_DATA_MDA!$A$2:$C$80,3,0)</f>
        <v>13.286547619047621</v>
      </c>
      <c r="F21" s="5">
        <f>VLOOKUP(A21,[1]ALL_DATA_MDA!$A$1:$D$80,4,0)</f>
        <v>53700455.66813837</v>
      </c>
      <c r="G21">
        <f>VLOOKUP(A21,[1]ALL_DATA_MDA!$A$4:$I$80,6,0)</f>
        <v>2420274.6484999573</v>
      </c>
      <c r="H21">
        <f>VLOOKUP(A21,[1]ALL_DATA_MDA!$A$4:$I$80,7,0)</f>
        <v>14.864829441026812</v>
      </c>
      <c r="I21">
        <f>VLOOKUP(A21,[1]ALL_DATA_MDA!$A$4:$I$80,8,0)</f>
        <v>48730646.338373691</v>
      </c>
      <c r="J21">
        <f>VLOOKUP(A21,[1]ALL_DATA_MDA!$A$4:$I$80,9,0)</f>
        <v>142503.57919461219</v>
      </c>
      <c r="K21">
        <f t="shared" si="0"/>
        <v>9.1514975992233936</v>
      </c>
      <c r="L21">
        <f t="shared" si="1"/>
        <v>9.1193516412458102</v>
      </c>
      <c r="M21" s="6">
        <f t="shared" si="2"/>
        <v>3.408926835283307E-3</v>
      </c>
      <c r="N21" s="7">
        <f t="shared" si="8"/>
        <v>3.6415921996109653E-3</v>
      </c>
      <c r="O21" s="6">
        <f t="shared" si="3"/>
        <v>3.8956529193261784E-3</v>
      </c>
      <c r="P21" s="6">
        <f t="shared" si="9"/>
        <v>3.970646657272107E-3</v>
      </c>
      <c r="Q21">
        <f t="shared" si="4"/>
        <v>14.832855347502637</v>
      </c>
      <c r="R21">
        <f t="shared" si="5"/>
        <v>14.699391582808925</v>
      </c>
      <c r="S21">
        <f t="shared" si="6"/>
        <v>11.815860329659271</v>
      </c>
      <c r="T21">
        <f t="shared" si="7"/>
        <v>2.5867520661452108</v>
      </c>
    </row>
    <row r="22" spans="1:20" x14ac:dyDescent="0.35">
      <c r="A22" s="1">
        <v>45627</v>
      </c>
      <c r="B22" s="2">
        <v>11673.78</v>
      </c>
      <c r="C22" s="5">
        <f>VLOOKUP(A22,[1]ALL_DATA_MDA!$A$2:$E$80,5,0)</f>
        <v>114638.54966888631</v>
      </c>
      <c r="D22" s="5">
        <f>VLOOKUP(A22,[1]ALL_DATA_MDA!$A$2:$E$80,2,0)</f>
        <v>2486473.8460738845</v>
      </c>
      <c r="E22" s="5">
        <f>VLOOKUP(A22,[1]ALL_DATA_MDA!$A$2:$C$80,3,0)</f>
        <v>14.020714285714288</v>
      </c>
      <c r="F22" s="5">
        <f>VLOOKUP(A22,[1]ALL_DATA_MDA!$A$1:$D$80,4,0)</f>
        <v>29443405.969990078</v>
      </c>
      <c r="G22">
        <f>VLOOKUP(A22,[1]ALL_DATA_MDA!$A$4:$I$80,6,0)</f>
        <v>2464461.9123678887</v>
      </c>
      <c r="H22">
        <f>VLOOKUP(A22,[1]ALL_DATA_MDA!$A$4:$I$80,7,0)</f>
        <v>14.710757126401866</v>
      </c>
      <c r="I22">
        <f>VLOOKUP(A22,[1]ALL_DATA_MDA!$A$4:$I$80,8,0)</f>
        <v>46637382.225578099</v>
      </c>
      <c r="J22">
        <f>VLOOKUP(A22,[1]ALL_DATA_MDA!$A$4:$I$80,9,0)</f>
        <v>133746.32063943916</v>
      </c>
      <c r="K22">
        <f t="shared" si="0"/>
        <v>9.3651005802889191</v>
      </c>
      <c r="L22">
        <f t="shared" si="1"/>
        <v>9.1514975992233936</v>
      </c>
      <c r="M22" s="6">
        <f t="shared" si="2"/>
        <v>4.6949136498792348E-3</v>
      </c>
      <c r="N22" s="7">
        <f t="shared" si="8"/>
        <v>4.0519202425812707E-3</v>
      </c>
      <c r="O22" s="6">
        <f t="shared" si="3"/>
        <v>4.7368473991889265E-3</v>
      </c>
      <c r="P22" s="6">
        <f t="shared" si="9"/>
        <v>4.3162501592575522E-3</v>
      </c>
      <c r="Q22">
        <f t="shared" si="4"/>
        <v>14.72637613871197</v>
      </c>
      <c r="R22">
        <f t="shared" si="5"/>
        <v>14.717484050501305</v>
      </c>
      <c r="S22">
        <f t="shared" si="6"/>
        <v>11.649539411243435</v>
      </c>
      <c r="T22">
        <f t="shared" si="7"/>
        <v>2.6405358279344986</v>
      </c>
    </row>
    <row r="23" spans="1:20" x14ac:dyDescent="0.35">
      <c r="A23" s="1">
        <v>45717</v>
      </c>
      <c r="B23" s="2">
        <v>11978.58</v>
      </c>
      <c r="C23" s="5">
        <f>VLOOKUP(A23,[1]ALL_DATA_MDA!$A$2:$E$80,5,0)</f>
        <v>107611.92790112307</v>
      </c>
      <c r="D23" s="5">
        <f>VLOOKUP(A23,[1]ALL_DATA_MDA!$A$2:$E$80,2,0)</f>
        <v>2231725.2157410216</v>
      </c>
      <c r="E23" s="5">
        <f>VLOOKUP(A23,[1]ALL_DATA_MDA!$A$2:$C$80,3,0)</f>
        <v>13.443684210526316</v>
      </c>
      <c r="F23" s="5">
        <f>VLOOKUP(A23,[1]ALL_DATA_MDA!$A$1:$D$80,4,0)</f>
        <v>35163822.061157756</v>
      </c>
      <c r="G23">
        <f>VLOOKUP(A23,[1]ALL_DATA_MDA!$A$4:$I$80,6,0)</f>
        <v>2395941.8702872782</v>
      </c>
      <c r="H23">
        <f>VLOOKUP(A23,[1]ALL_DATA_MDA!$A$4:$I$80,7,0)</f>
        <v>14.689038358722073</v>
      </c>
      <c r="I23">
        <f>VLOOKUP(A23,[1]ALL_DATA_MDA!$A$4:$I$80,8,0)</f>
        <v>42763992.240051143</v>
      </c>
      <c r="J23">
        <f>VLOOKUP(A23,[1]ALL_DATA_MDA!$A$4:$I$80,9,0)</f>
        <v>126430.66245521726</v>
      </c>
      <c r="K23">
        <f t="shared" si="0"/>
        <v>9.3908753337592916</v>
      </c>
      <c r="L23">
        <f t="shared" si="1"/>
        <v>9.3651005802889191</v>
      </c>
      <c r="M23" s="6">
        <f t="shared" si="2"/>
        <v>5.3674081000257166E-3</v>
      </c>
      <c r="N23" s="7">
        <f t="shared" si="8"/>
        <v>5.0311608749524757E-3</v>
      </c>
      <c r="O23" s="6">
        <f t="shared" si="3"/>
        <v>4.9995286398846327E-3</v>
      </c>
      <c r="P23" s="6">
        <f t="shared" si="9"/>
        <v>4.8681880195367792E-3</v>
      </c>
      <c r="Q23">
        <f t="shared" si="4"/>
        <v>14.618285483677388</v>
      </c>
      <c r="R23">
        <f t="shared" si="5"/>
        <v>14.689286976774289</v>
      </c>
      <c r="S23">
        <f t="shared" si="6"/>
        <v>11.586286774665616</v>
      </c>
      <c r="T23">
        <f t="shared" si="7"/>
        <v>2.598509420337229</v>
      </c>
    </row>
    <row r="24" spans="1:20" x14ac:dyDescent="0.35">
      <c r="A24" s="1">
        <v>45809</v>
      </c>
      <c r="B24" s="2">
        <v>12226.74</v>
      </c>
      <c r="C24" s="5">
        <f>VLOOKUP(A24,[1]ALL_DATA_MDA!$A$2:$E$80,5,0)</f>
        <v>127477.67025679621</v>
      </c>
      <c r="D24" s="5">
        <f>VLOOKUP(A24,[1]ALL_DATA_MDA!$A$2:$E$80,2,0)</f>
        <v>2268537.784506951</v>
      </c>
      <c r="E24" s="5">
        <f>VLOOKUP(A24,[1]ALL_DATA_MDA!$A$2:$C$80,3,0)</f>
        <v>14.310952380952379</v>
      </c>
      <c r="F24" s="5">
        <f>VLOOKUP(A24,[1]ALL_DATA_MDA!$A$1:$D$80,4,0)</f>
        <v>33407874.641389899</v>
      </c>
      <c r="G24">
        <f>VLOOKUP(A24,[1]ALL_DATA_MDA!$A$4:$I$80,6,0)</f>
        <v>2224845.0720832911</v>
      </c>
      <c r="H24">
        <f>VLOOKUP(A24,[1]ALL_DATA_MDA!$A$4:$I$80,7,0)</f>
        <v>16.387585630743523</v>
      </c>
      <c r="I24">
        <f>VLOOKUP(A24,[1]ALL_DATA_MDA!$A$4:$I$80,8,0)</f>
        <v>34773882.654840119</v>
      </c>
      <c r="J24">
        <f>VLOOKUP(A24,[1]ALL_DATA_MDA!$A$4:$I$80,9,0)</f>
        <v>121278.04817975375</v>
      </c>
      <c r="K24">
        <f t="shared" si="0"/>
        <v>9.4113806355032796</v>
      </c>
      <c r="L24">
        <f t="shared" si="1"/>
        <v>9.3908753337592916</v>
      </c>
      <c r="M24" s="6">
        <f t="shared" si="2"/>
        <v>5.3897008387970872E-3</v>
      </c>
      <c r="N24" s="7">
        <f t="shared" si="8"/>
        <v>5.3785544694114019E-3</v>
      </c>
      <c r="O24" s="6">
        <f t="shared" si="3"/>
        <v>5.495546702742396E-3</v>
      </c>
      <c r="P24" s="6">
        <f t="shared" si="9"/>
        <v>5.2475376713135144E-3</v>
      </c>
      <c r="Q24">
        <f t="shared" si="4"/>
        <v>14.634646034110967</v>
      </c>
      <c r="R24">
        <f t="shared" si="5"/>
        <v>14.615197840633797</v>
      </c>
      <c r="S24">
        <f t="shared" si="6"/>
        <v>11.755696493001837</v>
      </c>
      <c r="T24">
        <f t="shared" si="7"/>
        <v>2.6610251448794449</v>
      </c>
    </row>
    <row r="25" spans="1:20" x14ac:dyDescent="0.35">
      <c r="A25" s="1">
        <v>45901</v>
      </c>
      <c r="B25" s="2">
        <v>12487.43</v>
      </c>
      <c r="C25" s="5">
        <f>VLOOKUP(A25,[1]ALL_DATA_MDA!$A$2:$E$80,5,0)</f>
        <v>111678.46988357695</v>
      </c>
      <c r="D25" s="5">
        <f>VLOOKUP(A25,[1]ALL_DATA_MDA!$A$2:$E$80,2,0)</f>
        <v>2374375.3588008792</v>
      </c>
      <c r="E25" s="5">
        <f>VLOOKUP(A25,[1]ALL_DATA_MDA!$A$2:$C$80,3,0)</f>
        <v>10.67909090909091</v>
      </c>
      <c r="F25" s="5">
        <f>VLOOKUP(A25,[1]ALL_DATA_MDA!$A$1:$D$80,4,0)</f>
        <v>42184354.376300566</v>
      </c>
      <c r="G25">
        <f>VLOOKUP(A25,[1]ALL_DATA_MDA!$A$4:$I$80,6,0)</f>
        <v>2249667.7950876318</v>
      </c>
      <c r="H25">
        <f>VLOOKUP(A25,[1]ALL_DATA_MDA!$A$4:$I$80,7,0)</f>
        <v>13.90870995010583</v>
      </c>
      <c r="I25">
        <f>VLOOKUP(A25,[1]ALL_DATA_MDA!$A$4:$I$80,8,0)</f>
        <v>37215510.304454349</v>
      </c>
      <c r="J25">
        <f>VLOOKUP(A25,[1]ALL_DATA_MDA!$A$4:$I$80,9,0)</f>
        <v>115507.29097899364</v>
      </c>
      <c r="K25">
        <f t="shared" si="0"/>
        <v>9.4324778173354922</v>
      </c>
      <c r="L25">
        <f t="shared" si="1"/>
        <v>9.4113806355032796</v>
      </c>
      <c r="M25" s="6">
        <f t="shared" si="2"/>
        <v>5.2592484813801616E-3</v>
      </c>
      <c r="N25" s="7">
        <f t="shared" si="8"/>
        <v>5.3244746600886244E-3</v>
      </c>
      <c r="O25" s="6">
        <f t="shared" si="3"/>
        <v>5.550788444083841E-3</v>
      </c>
      <c r="P25" s="6">
        <f t="shared" si="9"/>
        <v>5.523167573413118E-3</v>
      </c>
      <c r="Q25">
        <f t="shared" si="4"/>
        <v>14.680244954037837</v>
      </c>
      <c r="R25">
        <f t="shared" si="5"/>
        <v>14.626293116652047</v>
      </c>
      <c r="S25">
        <f t="shared" si="6"/>
        <v>11.623379217003137</v>
      </c>
      <c r="T25">
        <f t="shared" si="7"/>
        <v>2.3682877090374239</v>
      </c>
    </row>
    <row r="26" spans="1:20" x14ac:dyDescent="0.35">
      <c r="A26" s="1">
        <v>45992</v>
      </c>
      <c r="B26" s="2">
        <v>12734.12</v>
      </c>
      <c r="C26" s="5">
        <f>VLOOKUP(A26,[1]ALL_DATA_MDA!$A$2:$E$80,5,0)</f>
        <v>106721.82544598352</v>
      </c>
      <c r="D26" s="5">
        <f>VLOOKUP(A26,[1]ALL_DATA_MDA!$A$2:$E$80,2,0)</f>
        <v>2530015.2321747434</v>
      </c>
      <c r="E26" s="5">
        <f>VLOOKUP(A26,[1]ALL_DATA_MDA!$A$2:$C$80,3,0)</f>
        <v>10.198636363636366</v>
      </c>
      <c r="F26" s="5">
        <f>VLOOKUP(A26,[1]ALL_DATA_MDA!$A$1:$D$80,4,0)</f>
        <v>45842841.411619477</v>
      </c>
      <c r="G26">
        <f>VLOOKUP(A26,[1]ALL_DATA_MDA!$A$4:$I$80,6,0)</f>
        <v>2330186.4398257677</v>
      </c>
      <c r="H26">
        <f>VLOOKUP(A26,[1]ALL_DATA_MDA!$A$4:$I$80,7,0)</f>
        <v>13.001890150276877</v>
      </c>
      <c r="I26">
        <f>VLOOKUP(A26,[1]ALL_DATA_MDA!$A$4:$I$80,8,0)</f>
        <v>40794497.431895711</v>
      </c>
      <c r="J26">
        <f>VLOOKUP(A26,[1]ALL_DATA_MDA!$A$4:$I$80,9,0)</f>
        <v>115045.73111713196</v>
      </c>
      <c r="K26">
        <f t="shared" si="0"/>
        <v>9.4520402841229565</v>
      </c>
      <c r="L26">
        <f t="shared" si="1"/>
        <v>9.4324778173354922</v>
      </c>
      <c r="M26" s="6">
        <f t="shared" si="2"/>
        <v>5.033218708748264E-3</v>
      </c>
      <c r="N26" s="7">
        <f t="shared" si="8"/>
        <v>5.1462335950642132E-3</v>
      </c>
      <c r="O26" s="6">
        <f t="shared" si="3"/>
        <v>5.4648502722177694E-3</v>
      </c>
      <c r="P26" s="6">
        <f t="shared" si="9"/>
        <v>5.5078193581508048E-3</v>
      </c>
      <c r="Q26">
        <f t="shared" si="4"/>
        <v>14.743735881308007</v>
      </c>
      <c r="R26">
        <f t="shared" si="5"/>
        <v>14.661458839433291</v>
      </c>
      <c r="S26">
        <f t="shared" si="6"/>
        <v>11.577980966006756</v>
      </c>
      <c r="T26">
        <f t="shared" si="7"/>
        <v>2.3222540215133702</v>
      </c>
    </row>
    <row r="27" spans="1:20" x14ac:dyDescent="0.35">
      <c r="A27" s="1">
        <v>46082</v>
      </c>
      <c r="B27" s="2">
        <v>13027.77</v>
      </c>
      <c r="C27" s="5">
        <f>VLOOKUP(A27,[1]ALL_DATA_MDA!$A$2:$E$80,5,0)</f>
        <v>139705.77101351085</v>
      </c>
      <c r="D27" s="5">
        <f>VLOOKUP(A27,[1]ALL_DATA_MDA!$A$2:$E$80,2,0)</f>
        <v>2232933.9561253428</v>
      </c>
      <c r="E27" s="5">
        <f>VLOOKUP(A27,[1]ALL_DATA_MDA!$A$2:$C$80,3,0)</f>
        <v>22.106842105263155</v>
      </c>
      <c r="F27" s="5">
        <f>VLOOKUP(A27,[1]ALL_DATA_MDA!$A$1:$D$80,4,0)</f>
        <v>50037399.074213259</v>
      </c>
      <c r="G27">
        <f>VLOOKUP(A27,[1]ALL_DATA_MDA!$A$4:$I$80,6,0)</f>
        <v>2346957.2887160419</v>
      </c>
      <c r="H27">
        <f>VLOOKUP(A27,[1]ALL_DATA_MDA!$A$4:$I$80,7,0)</f>
        <v>13.662559216717682</v>
      </c>
      <c r="I27">
        <f>VLOOKUP(A27,[1]ALL_DATA_MDA!$A$4:$I$80,8,0)</f>
        <v>43718886.177660517</v>
      </c>
      <c r="J27">
        <f>VLOOKUP(A27,[1]ALL_DATA_MDA!$A$4:$I$80,9,0)</f>
        <v>119914.04789993871</v>
      </c>
      <c r="K27">
        <f t="shared" si="0"/>
        <v>9.4748385119572021</v>
      </c>
      <c r="L27">
        <f t="shared" si="1"/>
        <v>9.4520402841229565</v>
      </c>
      <c r="M27" s="6">
        <f t="shared" si="2"/>
        <v>5.8343731861224398E-3</v>
      </c>
      <c r="N27" s="7">
        <f t="shared" si="8"/>
        <v>5.4337959474353523E-3</v>
      </c>
      <c r="O27" s="6">
        <f t="shared" si="3"/>
        <v>5.5509190826080806E-3</v>
      </c>
      <c r="P27" s="6">
        <f t="shared" si="9"/>
        <v>5.5078846774129255E-3</v>
      </c>
      <c r="Q27">
        <f t="shared" si="4"/>
        <v>14.61882695408636</v>
      </c>
      <c r="R27">
        <f t="shared" si="5"/>
        <v>14.668630276421316</v>
      </c>
      <c r="S27">
        <f t="shared" si="6"/>
        <v>11.847293854438423</v>
      </c>
      <c r="T27">
        <f t="shared" si="7"/>
        <v>3.0958871581315028</v>
      </c>
    </row>
    <row r="28" spans="1:20" x14ac:dyDescent="0.35">
      <c r="A28" s="1">
        <v>46174</v>
      </c>
      <c r="B28" s="2">
        <v>13361.94</v>
      </c>
      <c r="C28" s="5">
        <f>VLOOKUP(A28,[1]ALL_DATA_MDA!$A$2:$E$80,5,0)</f>
        <v>146663.0596976894</v>
      </c>
      <c r="D28" s="5">
        <f>VLOOKUP(A28,[1]ALL_DATA_MDA!$A$2:$E$80,2,0)</f>
        <v>2694381.3974901233</v>
      </c>
      <c r="E28" s="5">
        <f>VLOOKUP(A28,[1]ALL_DATA_MDA!$A$2:$C$80,3,0)</f>
        <v>14.542857142857144</v>
      </c>
      <c r="F28" s="5">
        <f>VLOOKUP(A28,[1]ALL_DATA_MDA!$A$1:$D$80,4,0)</f>
        <v>47773433.795056321</v>
      </c>
      <c r="G28">
        <f>VLOOKUP(A28,[1]ALL_DATA_MDA!$A$4:$I$80,6,0)</f>
        <v>2400867.0332066305</v>
      </c>
      <c r="H28">
        <f>VLOOKUP(A28,[1]ALL_DATA_MDA!$A$4:$I$80,7,0)</f>
        <v>17.42516290726817</v>
      </c>
      <c r="I28">
        <f>VLOOKUP(A28,[1]ALL_DATA_MDA!$A$4:$I$80,8,0)</f>
        <v>47366297.720221877</v>
      </c>
      <c r="J28">
        <f>VLOOKUP(A28,[1]ALL_DATA_MDA!$A$4:$I$80,9,0)</f>
        <v>151128.49266848201</v>
      </c>
      <c r="K28">
        <f t="shared" si="0"/>
        <v>9.5001656461295845</v>
      </c>
      <c r="L28">
        <f t="shared" si="1"/>
        <v>9.4748385119572021</v>
      </c>
      <c r="M28" s="6">
        <f t="shared" si="2"/>
        <v>4.9591865548236592E-3</v>
      </c>
      <c r="N28" s="7">
        <f t="shared" si="8"/>
        <v>5.3967798704730495E-3</v>
      </c>
      <c r="O28" s="6">
        <f t="shared" si="3"/>
        <v>5.5654643989815683E-3</v>
      </c>
      <c r="P28" s="6">
        <f>AVERAGE(O27:O28)</f>
        <v>5.5581917407948244E-3</v>
      </c>
      <c r="Q28">
        <f t="shared" si="4"/>
        <v>14.806679198868144</v>
      </c>
      <c r="R28">
        <f t="shared" si="5"/>
        <v>14.691340493914202</v>
      </c>
      <c r="S28">
        <f t="shared" si="6"/>
        <v>11.895893123953623</v>
      </c>
      <c r="T28">
        <f t="shared" si="7"/>
        <v>2.677099955061109</v>
      </c>
    </row>
    <row r="29" spans="1:20" x14ac:dyDescent="0.35">
      <c r="A29" s="1"/>
      <c r="B29" s="4"/>
    </row>
    <row r="30" spans="1:20" x14ac:dyDescent="0.35">
      <c r="A30" s="1"/>
      <c r="B30" s="4"/>
    </row>
    <row r="31" spans="1:20" x14ac:dyDescent="0.35">
      <c r="A31" s="1"/>
      <c r="B31" s="4"/>
    </row>
    <row r="32" spans="1:20" x14ac:dyDescent="0.35">
      <c r="A32" s="1"/>
      <c r="B32" s="4"/>
    </row>
    <row r="33" spans="1:2" x14ac:dyDescent="0.35">
      <c r="A33" s="1"/>
      <c r="B33" s="4"/>
    </row>
    <row r="34" spans="1:2" x14ac:dyDescent="0.35">
      <c r="A34" s="1"/>
      <c r="B34" s="4"/>
    </row>
    <row r="35" spans="1:2" x14ac:dyDescent="0.35">
      <c r="A35" s="1"/>
      <c r="B35" s="4"/>
    </row>
    <row r="36" spans="1:2" x14ac:dyDescent="0.35">
      <c r="A36" s="1"/>
    </row>
    <row r="37" spans="1:2" x14ac:dyDescent="0.35">
      <c r="A37" s="1"/>
    </row>
    <row r="38" spans="1:2" x14ac:dyDescent="0.35">
      <c r="A38" s="1"/>
    </row>
    <row r="39" spans="1:2" x14ac:dyDescent="0.35">
      <c r="A39" s="1"/>
    </row>
    <row r="40" spans="1:2" x14ac:dyDescent="0.35">
      <c r="A40" s="1"/>
    </row>
    <row r="41" spans="1:2" x14ac:dyDescent="0.35">
      <c r="A41" s="1"/>
    </row>
    <row r="42" spans="1:2" x14ac:dyDescent="0.35">
      <c r="A4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2188-E3D6-4554-BEDE-F66E52B4D3F0}">
  <dimension ref="A1:AC42"/>
  <sheetViews>
    <sheetView topLeftCell="A23" workbookViewId="0">
      <selection activeCell="T1" sqref="T1:T1048576"/>
    </sheetView>
  </sheetViews>
  <sheetFormatPr defaultRowHeight="14.5" x14ac:dyDescent="0.35"/>
  <cols>
    <col min="4" max="4" width="8.81640625" bestFit="1" customWidth="1"/>
    <col min="5" max="5" width="9.36328125" bestFit="1" customWidth="1"/>
    <col min="6" max="6" width="8.81640625" bestFit="1" customWidth="1"/>
    <col min="7" max="7" width="10.36328125" bestFit="1" customWidth="1"/>
    <col min="18" max="18" width="8.90625" bestFit="1" customWidth="1"/>
  </cols>
  <sheetData>
    <row r="1" spans="1:29" x14ac:dyDescent="0.35">
      <c r="A1" t="s">
        <v>0</v>
      </c>
      <c r="B1" s="2" t="s">
        <v>35</v>
      </c>
      <c r="C1" s="2" t="s">
        <v>36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17</v>
      </c>
      <c r="P1" t="s">
        <v>18</v>
      </c>
      <c r="Q1" t="s">
        <v>19</v>
      </c>
      <c r="R1" t="s">
        <v>47</v>
      </c>
      <c r="S1" t="s">
        <v>16</v>
      </c>
      <c r="T1" t="s">
        <v>13</v>
      </c>
      <c r="U1" t="s">
        <v>14</v>
      </c>
      <c r="V1" t="s">
        <v>15</v>
      </c>
      <c r="W1" t="s">
        <v>34</v>
      </c>
      <c r="X1" t="s">
        <v>41</v>
      </c>
      <c r="Y1" t="s">
        <v>42</v>
      </c>
      <c r="Z1" t="s">
        <v>43</v>
      </c>
      <c r="AA1" t="s">
        <v>44</v>
      </c>
      <c r="AB1" t="s">
        <v>46</v>
      </c>
      <c r="AC1" t="s">
        <v>45</v>
      </c>
    </row>
    <row r="2" spans="1:29" x14ac:dyDescent="0.35">
      <c r="A2" s="1">
        <v>43800</v>
      </c>
      <c r="B2" s="5">
        <v>3060.44</v>
      </c>
      <c r="C2" s="5">
        <v>3060.44</v>
      </c>
    </row>
    <row r="3" spans="1:29" x14ac:dyDescent="0.35">
      <c r="A3" s="1">
        <v>43891</v>
      </c>
      <c r="B3" s="2">
        <v>3149.13</v>
      </c>
      <c r="C3" s="2">
        <v>3149.13</v>
      </c>
      <c r="D3" s="5">
        <f>VLOOKUP(A3,[1]ALL_DATA_MDA!$A$2:$E$80,5,0)</f>
        <v>54055.465787908099</v>
      </c>
      <c r="E3" s="5">
        <f>VLOOKUP(A3,[1]ALL_DATA_MDA!$A$2:$E$80,2,0)</f>
        <v>253346.42920749786</v>
      </c>
      <c r="F3" s="5">
        <f>VLOOKUP(A3,[1]ALL_DATA_MDA!$A$2:$C$80,3,0)</f>
        <v>53.063571428571429</v>
      </c>
      <c r="G3" s="5">
        <f>VLOOKUP(A3,[1]ALL_DATA_MDA!$A$1:$D$80,4,0)</f>
        <v>1146922.9819347807</v>
      </c>
      <c r="H3">
        <f>VLOOKUP(A3,[1]ALL_DATA_MDA!$A$4:$I$80,6,0)</f>
        <v>332914.38076649059</v>
      </c>
      <c r="I3">
        <f>VLOOKUP(A3,[1]ALL_DATA_MDA!$A$4:$I$80,7,0)</f>
        <v>27.788757505175983</v>
      </c>
      <c r="J3">
        <f>VLOOKUP(A3,[1]ALL_DATA_MDA!$A$4:$I$80,8,0)</f>
        <v>1516939.9299189982</v>
      </c>
      <c r="K3">
        <f>VLOOKUP(A3,[1]ALL_DATA_MDA!$A$4:$I$80,9,0)</f>
        <v>46042.028786804272</v>
      </c>
      <c r="L3">
        <f>LN(B3)</f>
        <v>8.0548815031958743</v>
      </c>
      <c r="M3">
        <f>+LN(B2)</f>
        <v>8.0263139754591855</v>
      </c>
      <c r="N3" s="6">
        <f>B3/E3</f>
        <v>1.2430133749470667E-2</v>
      </c>
      <c r="P3" s="6">
        <f>B3/H3</f>
        <v>9.459278967611888E-3</v>
      </c>
      <c r="Q3" s="6"/>
      <c r="R3">
        <f>LN(G3)</f>
        <v>13.952593246459271</v>
      </c>
      <c r="S3">
        <f>LN(E3)</f>
        <v>12.442513116498427</v>
      </c>
      <c r="T3">
        <f>LN(H3)</f>
        <v>12.715640621087557</v>
      </c>
      <c r="U3">
        <f>LN(D3)</f>
        <v>10.89776594261525</v>
      </c>
      <c r="V3">
        <f>LN(F3)</f>
        <v>3.971490655690026</v>
      </c>
    </row>
    <row r="4" spans="1:29" x14ac:dyDescent="0.35">
      <c r="A4" s="1">
        <v>43983</v>
      </c>
      <c r="B4" s="3">
        <v>3266.26</v>
      </c>
      <c r="C4" s="3">
        <v>3266.26</v>
      </c>
      <c r="D4" s="5">
        <f>VLOOKUP(A4,[1]ALL_DATA_MDA!$A$2:$E$80,5,0)</f>
        <v>68303.041348210216</v>
      </c>
      <c r="E4" s="5">
        <f>VLOOKUP(A4,[1]ALL_DATA_MDA!$A$2:$E$80,2,0)</f>
        <v>301287.16546886868</v>
      </c>
      <c r="F4" s="5">
        <f>VLOOKUP(A4,[1]ALL_DATA_MDA!$A$2:$C$80,3,0)</f>
        <v>30.23761363636363</v>
      </c>
      <c r="G4" s="5">
        <f>VLOOKUP(A4,[1]ALL_DATA_MDA!$A$1:$D$80,4,0)</f>
        <v>1659105.303242442</v>
      </c>
      <c r="H4">
        <f>VLOOKUP(A4,[1]ALL_DATA_MDA!$A$4:$I$80,6,0)</f>
        <v>243546.15527789955</v>
      </c>
      <c r="I4">
        <f>VLOOKUP(A4,[1]ALL_DATA_MDA!$A$4:$I$80,7,0)</f>
        <v>37.407822966507176</v>
      </c>
      <c r="J4">
        <f>VLOOKUP(A4,[1]ALL_DATA_MDA!$A$4:$I$80,8,0)</f>
        <v>1367764.6217284221</v>
      </c>
      <c r="K4">
        <f>VLOOKUP(A4,[1]ALL_DATA_MDA!$A$4:$I$80,9,0)</f>
        <v>60376.500316289494</v>
      </c>
      <c r="L4">
        <f t="shared" ref="L4:L28" si="0">LN(B4)</f>
        <v>8.0914008784451372</v>
      </c>
      <c r="M4">
        <f t="shared" ref="M4:M28" si="1">+LN(B3)</f>
        <v>8.0548815031958743</v>
      </c>
      <c r="N4" s="6">
        <f t="shared" ref="N4:N28" si="2">B4/E4</f>
        <v>1.084101938068615E-2</v>
      </c>
      <c r="O4" s="7">
        <f>AVERAGE(N3:N4)</f>
        <v>1.1635576565078409E-2</v>
      </c>
      <c r="P4" s="6">
        <f t="shared" ref="P4:P28" si="3">B4/H4</f>
        <v>1.3411256672366756E-2</v>
      </c>
      <c r="Q4" s="6">
        <f>AVERAGE(P3:P4)</f>
        <v>1.1435267819989322E-2</v>
      </c>
      <c r="R4">
        <f t="shared" ref="R4:R35" si="4">LN(G4)</f>
        <v>14.32178904108372</v>
      </c>
      <c r="S4">
        <f t="shared" ref="S4:S28" si="5">LN(E4)</f>
        <v>12.615819127028461</v>
      </c>
      <c r="T4">
        <f t="shared" ref="T4:T28" si="6">LN(H4)</f>
        <v>12.403061752938456</v>
      </c>
      <c r="U4">
        <f t="shared" ref="U4:U28" si="7">LN(D4)</f>
        <v>11.131709573823855</v>
      </c>
      <c r="V4">
        <f t="shared" ref="V4:V28" si="8">LN(F4)</f>
        <v>3.4090866340560333</v>
      </c>
      <c r="W4">
        <f>S4-S3</f>
        <v>0.17330601053003392</v>
      </c>
      <c r="X4">
        <f>U4-U3</f>
        <v>0.2339436312086054</v>
      </c>
      <c r="Y4">
        <f>V4-V3</f>
        <v>-0.56240402163399272</v>
      </c>
      <c r="Z4">
        <f>Y4^2</f>
        <v>0.31629828355008854</v>
      </c>
      <c r="AB4">
        <f>IF(Y4&gt;0,Y4,0)</f>
        <v>0</v>
      </c>
    </row>
    <row r="5" spans="1:29" x14ac:dyDescent="0.35">
      <c r="A5" s="1">
        <v>44075</v>
      </c>
      <c r="B5" s="2">
        <v>3380.31</v>
      </c>
      <c r="C5" s="2">
        <v>3380.31</v>
      </c>
      <c r="D5" s="5">
        <f>VLOOKUP(A5,[1]ALL_DATA_MDA!$A$2:$E$80,5,0)</f>
        <v>61206.861545954293</v>
      </c>
      <c r="E5" s="5">
        <f>VLOOKUP(A5,[1]ALL_DATA_MDA!$A$2:$E$80,2,0)</f>
        <v>384403.1781930271</v>
      </c>
      <c r="F5" s="5">
        <f>VLOOKUP(A5,[1]ALL_DATA_MDA!$A$2:$C$80,3,0)</f>
        <v>21.078977272727272</v>
      </c>
      <c r="G5" s="5">
        <f>VLOOKUP(A5,[1]ALL_DATA_MDA!$A$1:$D$80,4,0)</f>
        <v>2256927.5546008139</v>
      </c>
      <c r="H5">
        <f>VLOOKUP(A5,[1]ALL_DATA_MDA!$A$4:$I$80,6,0)</f>
        <v>308444.50513367832</v>
      </c>
      <c r="I5">
        <f>VLOOKUP(A5,[1]ALL_DATA_MDA!$A$4:$I$80,7,0)</f>
        <v>29.949584714008342</v>
      </c>
      <c r="J5">
        <f>VLOOKUP(A5,[1]ALL_DATA_MDA!$A$4:$I$80,8,0)</f>
        <v>1707311.7601414404</v>
      </c>
      <c r="K5">
        <f>VLOOKUP(A5,[1]ALL_DATA_MDA!$A$4:$I$80,9,0)</f>
        <v>62701.078441315905</v>
      </c>
      <c r="L5">
        <f t="shared" si="0"/>
        <v>8.1257227002477421</v>
      </c>
      <c r="M5">
        <f t="shared" si="1"/>
        <v>8.0914008784451372</v>
      </c>
      <c r="N5" s="6">
        <f t="shared" si="2"/>
        <v>8.7936577837100655E-3</v>
      </c>
      <c r="O5" s="7">
        <f t="shared" ref="O5:O28" si="9">AVERAGE(N4:N5)</f>
        <v>9.8173385821981075E-3</v>
      </c>
      <c r="P5" s="6">
        <f t="shared" si="3"/>
        <v>1.0959216143386928E-2</v>
      </c>
      <c r="Q5" s="6">
        <f t="shared" ref="Q5:Q27" si="10">AVERAGE(P4:P5)</f>
        <v>1.2185236407876842E-2</v>
      </c>
      <c r="R5">
        <f t="shared" si="4"/>
        <v>14.629514957190063</v>
      </c>
      <c r="S5">
        <f t="shared" si="5"/>
        <v>12.859447223976007</v>
      </c>
      <c r="T5">
        <f t="shared" si="6"/>
        <v>12.639297220031636</v>
      </c>
      <c r="U5">
        <f t="shared" si="7"/>
        <v>11.022014578979762</v>
      </c>
      <c r="V5">
        <f t="shared" si="8"/>
        <v>3.0482762060221611</v>
      </c>
      <c r="W5">
        <f t="shared" ref="W5:W35" si="11">S5-S4</f>
        <v>0.24362809694754617</v>
      </c>
      <c r="X5">
        <f t="shared" ref="X5:X35" si="12">U5-U4</f>
        <v>-0.10969499484409262</v>
      </c>
      <c r="Y5">
        <f t="shared" ref="Y5:Y35" si="13">V5-V4</f>
        <v>-0.3608104280338722</v>
      </c>
      <c r="Z5">
        <f t="shared" ref="Z5:Z35" si="14">Y5^2</f>
        <v>0.13018416497798607</v>
      </c>
      <c r="AA5">
        <f>Y4</f>
        <v>-0.56240402163399272</v>
      </c>
      <c r="AB5">
        <f t="shared" ref="AB5:AB35" si="15">IF(Y5&gt;0,Y5,0)</f>
        <v>0</v>
      </c>
      <c r="AC5">
        <f>W4</f>
        <v>0.17330601053003392</v>
      </c>
    </row>
    <row r="6" spans="1:29" x14ac:dyDescent="0.35">
      <c r="A6" s="1">
        <v>44166</v>
      </c>
      <c r="B6" s="3">
        <v>3470.54</v>
      </c>
      <c r="C6" s="3">
        <v>3470.54</v>
      </c>
      <c r="D6" s="5">
        <f>VLOOKUP(A6,[1]ALL_DATA_MDA!$A$2:$E$80,5,0)</f>
        <v>70513.135366875969</v>
      </c>
      <c r="E6" s="5">
        <f>VLOOKUP(A6,[1]ALL_DATA_MDA!$A$2:$E$80,2,0)</f>
        <v>518439.09354047594</v>
      </c>
      <c r="F6" s="5">
        <f>VLOOKUP(A6,[1]ALL_DATA_MDA!$A$2:$C$80,3,0)</f>
        <v>19.771363636363638</v>
      </c>
      <c r="G6" s="5">
        <f>VLOOKUP(A6,[1]ALL_DATA_MDA!$A$1:$D$80,4,0)</f>
        <v>3283623.53670893</v>
      </c>
      <c r="H6">
        <f>VLOOKUP(A6,[1]ALL_DATA_MDA!$A$4:$I$80,6,0)</f>
        <v>360280.29630155477</v>
      </c>
      <c r="I6">
        <f>VLOOKUP(A6,[1]ALL_DATA_MDA!$A$4:$I$80,7,0)</f>
        <v>26.895819102268192</v>
      </c>
      <c r="J6">
        <f>VLOOKUP(A6,[1]ALL_DATA_MDA!$A$4:$I$80,8,0)</f>
        <v>2170087.0368813197</v>
      </c>
      <c r="K6">
        <f>VLOOKUP(A6,[1]ALL_DATA_MDA!$A$4:$I$80,9,0)</f>
        <v>64460.302955042185</v>
      </c>
      <c r="L6">
        <f t="shared" si="0"/>
        <v>8.1520654804299735</v>
      </c>
      <c r="M6">
        <f t="shared" si="1"/>
        <v>8.1257227002477421</v>
      </c>
      <c r="N6" s="6">
        <f t="shared" si="2"/>
        <v>6.694209682952942E-3</v>
      </c>
      <c r="O6" s="7">
        <f t="shared" si="9"/>
        <v>7.7439337333315037E-3</v>
      </c>
      <c r="P6" s="6">
        <f t="shared" si="3"/>
        <v>9.6328887136674177E-3</v>
      </c>
      <c r="Q6" s="6">
        <f t="shared" si="10"/>
        <v>1.0296052428527172E-2</v>
      </c>
      <c r="R6">
        <f t="shared" si="4"/>
        <v>15.00445810738918</v>
      </c>
      <c r="S6">
        <f t="shared" si="5"/>
        <v>13.158577833099081</v>
      </c>
      <c r="T6">
        <f t="shared" si="6"/>
        <v>12.794637608317554</v>
      </c>
      <c r="U6">
        <f t="shared" si="7"/>
        <v>11.163554288706107</v>
      </c>
      <c r="V6">
        <f t="shared" si="8"/>
        <v>2.9842346098348962</v>
      </c>
      <c r="W6">
        <f t="shared" si="11"/>
        <v>0.29913060912307365</v>
      </c>
      <c r="X6">
        <f t="shared" si="12"/>
        <v>0.14153970972634511</v>
      </c>
      <c r="Y6">
        <f t="shared" si="13"/>
        <v>-6.4041596187264904E-2</v>
      </c>
      <c r="Z6">
        <f t="shared" si="14"/>
        <v>4.1013260422127027E-3</v>
      </c>
      <c r="AA6">
        <f t="shared" ref="AA6:AA35" si="16">Y5</f>
        <v>-0.3608104280338722</v>
      </c>
      <c r="AB6">
        <f t="shared" si="15"/>
        <v>0</v>
      </c>
      <c r="AC6">
        <f t="shared" ref="AC6:AC35" si="17">W5</f>
        <v>0.24362809694754617</v>
      </c>
    </row>
    <row r="7" spans="1:29" x14ac:dyDescent="0.35">
      <c r="A7" s="1">
        <v>44256</v>
      </c>
      <c r="B7" s="2">
        <v>3528.3</v>
      </c>
      <c r="C7" s="2">
        <v>3528.3</v>
      </c>
      <c r="D7" s="5">
        <f>VLOOKUP(A7,[1]ALL_DATA_MDA!$A$2:$E$80,5,0)</f>
        <v>75693.326357939091</v>
      </c>
      <c r="E7" s="5">
        <f>VLOOKUP(A7,[1]ALL_DATA_MDA!$A$2:$E$80,2,0)</f>
        <v>586615.22087879712</v>
      </c>
      <c r="F7" s="5">
        <f>VLOOKUP(A7,[1]ALL_DATA_MDA!$A$2:$C$80,3,0)</f>
        <v>21.931071428571425</v>
      </c>
      <c r="G7" s="5">
        <f>VLOOKUP(A7,[1]ALL_DATA_MDA!$A$1:$D$80,4,0)</f>
        <v>4688695.3129239017</v>
      </c>
      <c r="H7">
        <f>VLOOKUP(A7,[1]ALL_DATA_MDA!$A$4:$I$80,6,0)</f>
        <v>413591.74819883984</v>
      </c>
      <c r="I7">
        <f>VLOOKUP(A7,[1]ALL_DATA_MDA!$A$4:$I$80,7,0)</f>
        <v>25.825484862415433</v>
      </c>
      <c r="J7">
        <f>VLOOKUP(A7,[1]ALL_DATA_MDA!$A$4:$I$80,8,0)</f>
        <v>2718595.9871408199</v>
      </c>
      <c r="K7">
        <f>VLOOKUP(A7,[1]ALL_DATA_MDA!$A$4:$I$80,9,0)</f>
        <v>69080.862182022742</v>
      </c>
      <c r="L7">
        <f t="shared" si="0"/>
        <v>8.1685714475251014</v>
      </c>
      <c r="M7">
        <f t="shared" si="1"/>
        <v>8.1520654804299735</v>
      </c>
      <c r="N7" s="6">
        <f t="shared" si="2"/>
        <v>6.0146751642658047E-3</v>
      </c>
      <c r="O7" s="7">
        <f t="shared" si="9"/>
        <v>6.3544424236093733E-3</v>
      </c>
      <c r="P7" s="6">
        <f t="shared" si="3"/>
        <v>8.5308761970360261E-3</v>
      </c>
      <c r="Q7" s="6">
        <f t="shared" si="10"/>
        <v>9.0818824553517211E-3</v>
      </c>
      <c r="R7">
        <f t="shared" si="4"/>
        <v>15.36066491684424</v>
      </c>
      <c r="S7">
        <f t="shared" si="5"/>
        <v>13.282124382817216</v>
      </c>
      <c r="T7">
        <f t="shared" si="6"/>
        <v>12.932634650813982</v>
      </c>
      <c r="U7">
        <f t="shared" si="7"/>
        <v>11.234445276463198</v>
      </c>
      <c r="V7">
        <f t="shared" si="8"/>
        <v>3.0879044179883475</v>
      </c>
      <c r="W7">
        <f t="shared" si="11"/>
        <v>0.12354654971813517</v>
      </c>
      <c r="X7">
        <f t="shared" si="12"/>
        <v>7.0890987757090684E-2</v>
      </c>
      <c r="Y7">
        <f t="shared" si="13"/>
        <v>0.10366980815345128</v>
      </c>
      <c r="Z7">
        <f t="shared" si="14"/>
        <v>1.0747429122573393E-2</v>
      </c>
      <c r="AA7">
        <f t="shared" si="16"/>
        <v>-6.4041596187264904E-2</v>
      </c>
      <c r="AB7">
        <f t="shared" si="15"/>
        <v>0.10366980815345128</v>
      </c>
      <c r="AC7">
        <f t="shared" si="17"/>
        <v>0.29913060912307365</v>
      </c>
    </row>
    <row r="8" spans="1:29" x14ac:dyDescent="0.35">
      <c r="A8" s="1">
        <v>44348</v>
      </c>
      <c r="B8" s="2">
        <v>3630.67</v>
      </c>
      <c r="C8" s="2">
        <v>3630.67</v>
      </c>
      <c r="D8" s="5">
        <f>VLOOKUP(A8,[1]ALL_DATA_MDA!$A$2:$E$80,5,0)</f>
        <v>81098.218206319536</v>
      </c>
      <c r="E8" s="5">
        <f>VLOOKUP(A8,[1]ALL_DATA_MDA!$A$2:$E$80,2,0)</f>
        <v>691393.39530246658</v>
      </c>
      <c r="F8" s="5">
        <f>VLOOKUP(A8,[1]ALL_DATA_MDA!$A$2:$C$80,3,0)</f>
        <v>14.921818181818184</v>
      </c>
      <c r="G8" s="5">
        <f>VLOOKUP(A8,[1]ALL_DATA_MDA!$A$1:$D$80,4,0)</f>
        <v>4894655.0352812726</v>
      </c>
      <c r="H8">
        <f>VLOOKUP(A8,[1]ALL_DATA_MDA!$A$4:$I$80,6,0)</f>
        <v>629347.71319323627</v>
      </c>
      <c r="I8">
        <f>VLOOKUP(A8,[1]ALL_DATA_MDA!$A$4:$I$80,7,0)</f>
        <v>18.921689393939392</v>
      </c>
      <c r="J8">
        <f>VLOOKUP(A8,[1]ALL_DATA_MDA!$A$4:$I$80,8,0)</f>
        <v>4825861.3266194845</v>
      </c>
      <c r="K8">
        <f>VLOOKUP(A8,[1]ALL_DATA_MDA!$A$4:$I$80,9,0)</f>
        <v>82413.690548603787</v>
      </c>
      <c r="L8">
        <f t="shared" si="0"/>
        <v>8.1971724832301511</v>
      </c>
      <c r="M8">
        <f t="shared" si="1"/>
        <v>8.1685714475251014</v>
      </c>
      <c r="N8" s="6">
        <f t="shared" si="2"/>
        <v>5.2512361626070739E-3</v>
      </c>
      <c r="O8" s="7">
        <f t="shared" si="9"/>
        <v>5.6329556634364397E-3</v>
      </c>
      <c r="P8" s="6">
        <f t="shared" si="3"/>
        <v>5.7689412766408696E-3</v>
      </c>
      <c r="Q8" s="6">
        <f t="shared" si="10"/>
        <v>7.1499087368384479E-3</v>
      </c>
      <c r="R8">
        <f t="shared" si="4"/>
        <v>15.403654358589316</v>
      </c>
      <c r="S8">
        <f t="shared" si="5"/>
        <v>13.446464253780798</v>
      </c>
      <c r="T8">
        <f t="shared" si="6"/>
        <v>13.35243918611209</v>
      </c>
      <c r="U8">
        <f t="shared" si="7"/>
        <v>11.303416269533171</v>
      </c>
      <c r="V8">
        <f t="shared" si="8"/>
        <v>2.7028244494031952</v>
      </c>
      <c r="W8">
        <f t="shared" si="11"/>
        <v>0.16433987096358216</v>
      </c>
      <c r="X8">
        <f t="shared" si="12"/>
        <v>6.8970993069973119E-2</v>
      </c>
      <c r="Y8">
        <f t="shared" si="13"/>
        <v>-0.38507996858515225</v>
      </c>
      <c r="Z8">
        <f t="shared" si="14"/>
        <v>0.14828658220554183</v>
      </c>
      <c r="AA8">
        <f t="shared" si="16"/>
        <v>0.10366980815345128</v>
      </c>
      <c r="AB8">
        <f t="shared" si="15"/>
        <v>0</v>
      </c>
      <c r="AC8">
        <f t="shared" si="17"/>
        <v>0.12354654971813517</v>
      </c>
    </row>
    <row r="9" spans="1:29" x14ac:dyDescent="0.35">
      <c r="A9" s="1">
        <v>44440</v>
      </c>
      <c r="B9" s="2">
        <v>3725.83</v>
      </c>
      <c r="C9" s="2">
        <v>3725.83</v>
      </c>
      <c r="D9" s="5">
        <f>VLOOKUP(A9,[1]ALL_DATA_MDA!$A$2:$E$80,5,0)</f>
        <v>78297.011739564026</v>
      </c>
      <c r="E9" s="5">
        <f>VLOOKUP(A9,[1]ALL_DATA_MDA!$A$2:$E$80,2,0)</f>
        <v>913105.56779519399</v>
      </c>
      <c r="F9" s="5">
        <f>VLOOKUP(A9,[1]ALL_DATA_MDA!$A$2:$C$80,3,0)</f>
        <v>15.721547619047618</v>
      </c>
      <c r="G9" s="5">
        <f>VLOOKUP(A9,[1]ALL_DATA_MDA!$A$1:$D$80,4,0)</f>
        <v>7002866.0042342264</v>
      </c>
      <c r="H9">
        <f>VLOOKUP(A9,[1]ALL_DATA_MDA!$A$4:$I$80,6,0)</f>
        <v>723950.13969367545</v>
      </c>
      <c r="I9">
        <f>VLOOKUP(A9,[1]ALL_DATA_MDA!$A$4:$I$80,7,0)</f>
        <v>16.385805014430016</v>
      </c>
      <c r="J9">
        <f>VLOOKUP(A9,[1]ALL_DATA_MDA!$A$4:$I$80,8,0)</f>
        <v>5528122.2936318889</v>
      </c>
      <c r="K9">
        <f>VLOOKUP(A9,[1]ALL_DATA_MDA!$A$4:$I$80,9,0)</f>
        <v>77827.525130523951</v>
      </c>
      <c r="L9">
        <f t="shared" si="0"/>
        <v>8.2230449247851869</v>
      </c>
      <c r="M9">
        <f t="shared" si="1"/>
        <v>8.1971724832301511</v>
      </c>
      <c r="N9" s="6">
        <f t="shared" si="2"/>
        <v>4.0803934741045073E-3</v>
      </c>
      <c r="O9" s="7">
        <f t="shared" si="9"/>
        <v>4.6658148183557902E-3</v>
      </c>
      <c r="P9" s="6">
        <f t="shared" si="3"/>
        <v>5.1465284633780278E-3</v>
      </c>
      <c r="Q9" s="6">
        <f t="shared" si="10"/>
        <v>5.4577348700094487E-3</v>
      </c>
      <c r="R9">
        <f t="shared" si="4"/>
        <v>15.761830052402651</v>
      </c>
      <c r="S9">
        <f t="shared" si="5"/>
        <v>13.724606780269768</v>
      </c>
      <c r="T9">
        <f t="shared" si="6"/>
        <v>13.49247780116994</v>
      </c>
      <c r="U9">
        <f t="shared" si="7"/>
        <v>11.268264717004952</v>
      </c>
      <c r="V9">
        <f t="shared" si="8"/>
        <v>2.7550322312041016</v>
      </c>
      <c r="W9">
        <f t="shared" si="11"/>
        <v>0.27814252648897053</v>
      </c>
      <c r="X9">
        <f t="shared" si="12"/>
        <v>-3.5151552528219554E-2</v>
      </c>
      <c r="Y9">
        <f t="shared" si="13"/>
        <v>5.220778180090635E-2</v>
      </c>
      <c r="Z9">
        <f t="shared" si="14"/>
        <v>2.7256524805710481E-3</v>
      </c>
      <c r="AA9">
        <f t="shared" si="16"/>
        <v>-0.38507996858515225</v>
      </c>
      <c r="AB9">
        <f t="shared" si="15"/>
        <v>5.220778180090635E-2</v>
      </c>
      <c r="AC9">
        <f t="shared" si="17"/>
        <v>0.16433987096358216</v>
      </c>
    </row>
    <row r="10" spans="1:29" x14ac:dyDescent="0.35">
      <c r="A10" s="1">
        <v>44531</v>
      </c>
      <c r="B10" s="2">
        <v>3856.72</v>
      </c>
      <c r="C10" s="2">
        <v>3856.72</v>
      </c>
      <c r="D10" s="5">
        <f>VLOOKUP(A10,[1]ALL_DATA_MDA!$A$2:$E$80,5,0)</f>
        <v>60133.109102888906</v>
      </c>
      <c r="E10" s="5">
        <f>VLOOKUP(A10,[1]ALL_DATA_MDA!$A$2:$E$80,2,0)</f>
        <v>922403.33660535607</v>
      </c>
      <c r="F10" s="5">
        <f>VLOOKUP(A10,[1]ALL_DATA_MDA!$A$2:$C$80,3,0)</f>
        <v>17.178478260869568</v>
      </c>
      <c r="G10" s="5">
        <f>VLOOKUP(A10,[1]ALL_DATA_MDA!$A$1:$D$80,4,0)</f>
        <v>7741038.3718543639</v>
      </c>
      <c r="H10">
        <f>VLOOKUP(A10,[1]ALL_DATA_MDA!$A$4:$I$80,6,0)</f>
        <v>792356.60170443496</v>
      </c>
      <c r="I10">
        <f>VLOOKUP(A10,[1]ALL_DATA_MDA!$A$4:$I$80,7,0)</f>
        <v>16.595075927494406</v>
      </c>
      <c r="J10">
        <f>VLOOKUP(A10,[1]ALL_DATA_MDA!$A$4:$I$80,8,0)</f>
        <v>6217247.2507606521</v>
      </c>
      <c r="K10">
        <f>VLOOKUP(A10,[1]ALL_DATA_MDA!$A$4:$I$80,9,0)</f>
        <v>77614.463419561638</v>
      </c>
      <c r="L10">
        <f t="shared" si="0"/>
        <v>8.2575723602917552</v>
      </c>
      <c r="M10">
        <f t="shared" si="1"/>
        <v>8.2230449247851869</v>
      </c>
      <c r="N10" s="6">
        <f t="shared" si="2"/>
        <v>4.1811644070950177E-3</v>
      </c>
      <c r="O10" s="7">
        <f t="shared" si="9"/>
        <v>4.1307789405997629E-3</v>
      </c>
      <c r="P10" s="6">
        <f t="shared" si="3"/>
        <v>4.8674043880038683E-3</v>
      </c>
      <c r="Q10" s="6">
        <f t="shared" si="10"/>
        <v>5.0069664256909476E-3</v>
      </c>
      <c r="R10">
        <f t="shared" si="4"/>
        <v>15.862046393138053</v>
      </c>
      <c r="S10">
        <f t="shared" si="5"/>
        <v>13.734737865238939</v>
      </c>
      <c r="T10">
        <f t="shared" si="6"/>
        <v>13.582766824139659</v>
      </c>
      <c r="U10">
        <f t="shared" si="7"/>
        <v>11.004315869047941</v>
      </c>
      <c r="V10">
        <f t="shared" si="8"/>
        <v>2.843657336432166</v>
      </c>
      <c r="W10">
        <f t="shared" si="11"/>
        <v>1.0131084969170701E-2</v>
      </c>
      <c r="X10">
        <f t="shared" si="12"/>
        <v>-0.26394884795701046</v>
      </c>
      <c r="Y10">
        <f t="shared" si="13"/>
        <v>8.8625105228064438E-2</v>
      </c>
      <c r="Z10">
        <f t="shared" si="14"/>
        <v>7.8544092766854954E-3</v>
      </c>
      <c r="AA10">
        <f t="shared" si="16"/>
        <v>5.220778180090635E-2</v>
      </c>
      <c r="AB10">
        <f t="shared" si="15"/>
        <v>8.8625105228064438E-2</v>
      </c>
      <c r="AC10">
        <f t="shared" si="17"/>
        <v>0.27814252648897053</v>
      </c>
    </row>
    <row r="11" spans="1:29" x14ac:dyDescent="0.35">
      <c r="A11" s="1">
        <v>44621</v>
      </c>
      <c r="B11" s="2">
        <v>3971.25</v>
      </c>
      <c r="C11" s="2">
        <v>3971.25</v>
      </c>
      <c r="D11" s="5">
        <f>VLOOKUP(A11,[1]ALL_DATA_MDA!$A$2:$E$80,5,0)</f>
        <v>73180.323214307995</v>
      </c>
      <c r="E11" s="5">
        <f>VLOOKUP(A11,[1]ALL_DATA_MDA!$A$2:$E$80,2,0)</f>
        <v>967157.61316651455</v>
      </c>
      <c r="F11" s="5">
        <f>VLOOKUP(A11,[1]ALL_DATA_MDA!$A$2:$C$80,3,0)</f>
        <v>25.079761904761909</v>
      </c>
      <c r="G11" s="5">
        <f>VLOOKUP(A11,[1]ALL_DATA_MDA!$A$1:$D$80,4,0)</f>
        <v>9698039.7837726735</v>
      </c>
      <c r="H11">
        <f>VLOOKUP(A11,[1]ALL_DATA_MDA!$A$4:$I$80,6,0)</f>
        <v>830644.59977770736</v>
      </c>
      <c r="I11">
        <f>VLOOKUP(A11,[1]ALL_DATA_MDA!$A$4:$I$80,7,0)</f>
        <v>17.910026687684297</v>
      </c>
      <c r="J11">
        <f>VLOOKUP(A11,[1]ALL_DATA_MDA!$A$4:$I$80,8,0)</f>
        <v>7083951.8711338453</v>
      </c>
      <c r="K11">
        <f>VLOOKUP(A11,[1]ALL_DATA_MDA!$A$4:$I$80,9,0)</f>
        <v>75973.325404425341</v>
      </c>
      <c r="L11">
        <f t="shared" si="0"/>
        <v>8.2868361855837254</v>
      </c>
      <c r="M11">
        <f t="shared" si="1"/>
        <v>8.2575723602917552</v>
      </c>
      <c r="N11" s="6">
        <f t="shared" si="2"/>
        <v>4.1061042646378613E-3</v>
      </c>
      <c r="O11" s="7">
        <f t="shared" si="9"/>
        <v>4.143634335866439E-3</v>
      </c>
      <c r="P11" s="6">
        <f t="shared" si="3"/>
        <v>4.7809255619825431E-3</v>
      </c>
      <c r="Q11" s="6">
        <f t="shared" si="10"/>
        <v>4.8241649749932057E-3</v>
      </c>
      <c r="R11">
        <f t="shared" si="4"/>
        <v>16.087434338904711</v>
      </c>
      <c r="S11">
        <f t="shared" si="5"/>
        <v>13.782116753052883</v>
      </c>
      <c r="T11">
        <f t="shared" si="6"/>
        <v>13.629957304592875</v>
      </c>
      <c r="U11">
        <f t="shared" si="7"/>
        <v>11.200681855266204</v>
      </c>
      <c r="V11">
        <f t="shared" si="8"/>
        <v>3.2220612222891112</v>
      </c>
      <c r="W11">
        <f t="shared" si="11"/>
        <v>4.7378887813943393E-2</v>
      </c>
      <c r="X11">
        <f t="shared" si="12"/>
        <v>0.19636598621826273</v>
      </c>
      <c r="Y11">
        <f t="shared" si="13"/>
        <v>0.37840388585694518</v>
      </c>
      <c r="Z11">
        <f t="shared" si="14"/>
        <v>0.14318950083163601</v>
      </c>
      <c r="AA11">
        <f t="shared" si="16"/>
        <v>8.8625105228064438E-2</v>
      </c>
      <c r="AB11">
        <f t="shared" si="15"/>
        <v>0.37840388585694518</v>
      </c>
      <c r="AC11">
        <f t="shared" si="17"/>
        <v>1.0131084969170701E-2</v>
      </c>
    </row>
    <row r="12" spans="1:29" x14ac:dyDescent="0.35">
      <c r="A12" s="1">
        <v>44713</v>
      </c>
      <c r="B12" s="2">
        <v>4099.26</v>
      </c>
      <c r="C12" s="2">
        <v>4099.26</v>
      </c>
      <c r="D12" s="5">
        <f>VLOOKUP(A12,[1]ALL_DATA_MDA!$A$2:$E$80,5,0)</f>
        <v>48968.568805764342</v>
      </c>
      <c r="E12" s="5">
        <f>VLOOKUP(A12,[1]ALL_DATA_MDA!$A$2:$E$80,2,0)</f>
        <v>950762.48687366548</v>
      </c>
      <c r="F12" s="5">
        <f>VLOOKUP(A12,[1]ALL_DATA_MDA!$A$2:$C$80,3,0)</f>
        <v>21.128409090909091</v>
      </c>
      <c r="G12" s="5">
        <f>VLOOKUP(A12,[1]ALL_DATA_MDA!$A$1:$D$80,4,0)</f>
        <v>11104983.887868512</v>
      </c>
      <c r="H12">
        <f>VLOOKUP(A12,[1]ALL_DATA_MDA!$A$4:$I$80,6,0)</f>
        <v>955117.64230254572</v>
      </c>
      <c r="I12">
        <f>VLOOKUP(A12,[1]ALL_DATA_MDA!$A$4:$I$80,7,0)</f>
        <v>20.869910382015647</v>
      </c>
      <c r="J12">
        <f>VLOOKUP(A12,[1]ALL_DATA_MDA!$A$4:$I$80,8,0)</f>
        <v>10646619.768714631</v>
      </c>
      <c r="K12">
        <f>VLOOKUP(A12,[1]ALL_DATA_MDA!$A$4:$I$80,9,0)</f>
        <v>63877.440974155856</v>
      </c>
      <c r="L12">
        <f t="shared" si="0"/>
        <v>8.318561748597638</v>
      </c>
      <c r="M12">
        <f t="shared" si="1"/>
        <v>8.2868361855837254</v>
      </c>
      <c r="N12" s="6">
        <f t="shared" si="2"/>
        <v>4.3115499997053398E-3</v>
      </c>
      <c r="O12" s="7">
        <f t="shared" si="9"/>
        <v>4.2088271321716001E-3</v>
      </c>
      <c r="P12" s="6">
        <f t="shared" si="3"/>
        <v>4.291890148859283E-3</v>
      </c>
      <c r="Q12" s="6">
        <f t="shared" si="10"/>
        <v>4.536407855420913E-3</v>
      </c>
      <c r="R12">
        <f t="shared" si="4"/>
        <v>16.222904564419789</v>
      </c>
      <c r="S12">
        <f t="shared" si="5"/>
        <v>13.765019559413085</v>
      </c>
      <c r="T12">
        <f t="shared" si="6"/>
        <v>13.769589797533254</v>
      </c>
      <c r="U12">
        <f t="shared" si="7"/>
        <v>10.798933918330219</v>
      </c>
      <c r="V12">
        <f t="shared" si="8"/>
        <v>3.0506185373078107</v>
      </c>
      <c r="W12">
        <f t="shared" si="11"/>
        <v>-1.7097193639797226E-2</v>
      </c>
      <c r="X12">
        <f t="shared" si="12"/>
        <v>-0.40174793693598509</v>
      </c>
      <c r="Y12">
        <f t="shared" si="13"/>
        <v>-0.17144268498130044</v>
      </c>
      <c r="Z12">
        <f t="shared" si="14"/>
        <v>2.939259423359742E-2</v>
      </c>
      <c r="AA12">
        <f t="shared" si="16"/>
        <v>0.37840388585694518</v>
      </c>
      <c r="AB12">
        <f t="shared" si="15"/>
        <v>0</v>
      </c>
      <c r="AC12">
        <f t="shared" si="17"/>
        <v>4.7378887813943393E-2</v>
      </c>
    </row>
    <row r="13" spans="1:29" x14ac:dyDescent="0.35">
      <c r="A13" s="1">
        <v>44805</v>
      </c>
      <c r="B13" s="2">
        <v>4245.78</v>
      </c>
      <c r="C13" s="2">
        <v>4245.78</v>
      </c>
      <c r="D13" s="5">
        <f>VLOOKUP(A13,[1]ALL_DATA_MDA!$A$2:$E$80,5,0)</f>
        <v>69738.444432646938</v>
      </c>
      <c r="E13" s="5">
        <f>VLOOKUP(A13,[1]ALL_DATA_MDA!$A$2:$E$80,2,0)</f>
        <v>1159872.1494074161</v>
      </c>
      <c r="F13" s="5">
        <f>VLOOKUP(A13,[1]ALL_DATA_MDA!$A$2:$C$80,3,0)</f>
        <v>19.554318181818179</v>
      </c>
      <c r="G13" s="5">
        <f>VLOOKUP(A13,[1]ALL_DATA_MDA!$A$1:$D$80,4,0)</f>
        <v>15238984.568565637</v>
      </c>
      <c r="H13">
        <f>VLOOKUP(A13,[1]ALL_DATA_MDA!$A$4:$I$80,6,0)</f>
        <v>1012007.2921562471</v>
      </c>
      <c r="I13">
        <f>VLOOKUP(A13,[1]ALL_DATA_MDA!$A$4:$I$80,7,0)</f>
        <v>19.839727467342598</v>
      </c>
      <c r="J13">
        <f>VLOOKUP(A13,[1]ALL_DATA_MDA!$A$4:$I$80,8,0)</f>
        <v>11990761.717337778</v>
      </c>
      <c r="K13">
        <f>VLOOKUP(A13,[1]ALL_DATA_MDA!$A$4:$I$80,9,0)</f>
        <v>63176.094884008322</v>
      </c>
      <c r="L13">
        <f t="shared" si="0"/>
        <v>8.3536808274493346</v>
      </c>
      <c r="M13">
        <f t="shared" si="1"/>
        <v>8.318561748597638</v>
      </c>
      <c r="N13" s="6">
        <f t="shared" si="2"/>
        <v>3.6605586246459903E-3</v>
      </c>
      <c r="O13" s="7">
        <f t="shared" si="9"/>
        <v>3.9860543121756648E-3</v>
      </c>
      <c r="P13" s="6">
        <f t="shared" si="3"/>
        <v>4.1954045518324979E-3</v>
      </c>
      <c r="Q13" s="6">
        <f t="shared" si="10"/>
        <v>4.2436473503458909E-3</v>
      </c>
      <c r="R13">
        <f t="shared" si="4"/>
        <v>16.539367476643729</v>
      </c>
      <c r="S13">
        <f t="shared" si="5"/>
        <v>13.963820340980226</v>
      </c>
      <c r="T13">
        <f t="shared" si="6"/>
        <v>13.827446334491578</v>
      </c>
      <c r="U13">
        <f t="shared" si="7"/>
        <v>11.152507014742088</v>
      </c>
      <c r="V13">
        <f t="shared" si="8"/>
        <v>2.9731961409066097</v>
      </c>
      <c r="W13">
        <f t="shared" si="11"/>
        <v>0.19880078156714021</v>
      </c>
      <c r="X13">
        <f t="shared" si="12"/>
        <v>0.35357309641186951</v>
      </c>
      <c r="Y13">
        <f t="shared" si="13"/>
        <v>-7.7422396401201077E-2</v>
      </c>
      <c r="Z13">
        <f t="shared" si="14"/>
        <v>5.9942274645047137E-3</v>
      </c>
      <c r="AA13">
        <f t="shared" si="16"/>
        <v>-0.17144268498130044</v>
      </c>
      <c r="AB13">
        <f t="shared" si="15"/>
        <v>0</v>
      </c>
      <c r="AC13">
        <f t="shared" si="17"/>
        <v>-1.7097193639797226E-2</v>
      </c>
    </row>
    <row r="14" spans="1:29" x14ac:dyDescent="0.35">
      <c r="A14" s="1">
        <v>44896</v>
      </c>
      <c r="B14" s="2">
        <v>5197.37</v>
      </c>
      <c r="C14" s="2">
        <v>5197.37</v>
      </c>
      <c r="D14" s="5">
        <f>VLOOKUP(A14,[1]ALL_DATA_MDA!$A$2:$E$80,5,0)</f>
        <v>59574.818521501271</v>
      </c>
      <c r="E14" s="5">
        <f>VLOOKUP(A14,[1]ALL_DATA_MDA!$A$2:$E$80,2,0)</f>
        <v>1335905.4074401341</v>
      </c>
      <c r="F14" s="5">
        <f>VLOOKUP(A14,[1]ALL_DATA_MDA!$A$2:$C$80,3,0)</f>
        <v>14.225681818181817</v>
      </c>
      <c r="G14" s="5">
        <f>VLOOKUP(A14,[1]ALL_DATA_MDA!$A$1:$D$80,4,0)</f>
        <v>19085781.306538139</v>
      </c>
      <c r="H14">
        <f>VLOOKUP(A14,[1]ALL_DATA_MDA!$A$4:$I$80,6,0)</f>
        <v>1082961.8612254788</v>
      </c>
      <c r="I14">
        <f>VLOOKUP(A14,[1]ALL_DATA_MDA!$A$4:$I$80,7,0)</f>
        <v>18.486060178856231</v>
      </c>
      <c r="J14">
        <f>VLOOKUP(A14,[1]ALL_DATA_MDA!$A$4:$I$80,8,0)</f>
        <v>13425197.324929878</v>
      </c>
      <c r="K14">
        <f>VLOOKUP(A14,[1]ALL_DATA_MDA!$A$4:$I$80,9,0)</f>
        <v>61826.094155109786</v>
      </c>
      <c r="L14">
        <f t="shared" si="0"/>
        <v>8.5559080073943505</v>
      </c>
      <c r="M14">
        <f t="shared" si="1"/>
        <v>8.3536808274493346</v>
      </c>
      <c r="N14" s="6">
        <f t="shared" si="2"/>
        <v>3.8905224659275955E-3</v>
      </c>
      <c r="O14" s="7">
        <f t="shared" si="9"/>
        <v>3.7755405452867931E-3</v>
      </c>
      <c r="P14" s="6">
        <f t="shared" si="3"/>
        <v>4.7992179467138945E-3</v>
      </c>
      <c r="Q14" s="6">
        <f t="shared" si="10"/>
        <v>4.4973112492731962E-3</v>
      </c>
      <c r="R14">
        <f t="shared" si="4"/>
        <v>16.764454181575452</v>
      </c>
      <c r="S14">
        <f t="shared" si="5"/>
        <v>14.10511982775782</v>
      </c>
      <c r="T14">
        <f t="shared" si="6"/>
        <v>13.895210309504751</v>
      </c>
      <c r="U14">
        <f t="shared" si="7"/>
        <v>10.994988255743273</v>
      </c>
      <c r="V14">
        <f t="shared" si="8"/>
        <v>2.6550489098431314</v>
      </c>
      <c r="W14">
        <f t="shared" si="11"/>
        <v>0.1412994867775943</v>
      </c>
      <c r="X14">
        <f t="shared" si="12"/>
        <v>-0.1575187589988154</v>
      </c>
      <c r="Y14">
        <f t="shared" si="13"/>
        <v>-0.31814723106347831</v>
      </c>
      <c r="Z14">
        <f t="shared" si="14"/>
        <v>0.10121766063335826</v>
      </c>
      <c r="AA14">
        <f t="shared" si="16"/>
        <v>-7.7422396401201077E-2</v>
      </c>
      <c r="AB14">
        <f t="shared" si="15"/>
        <v>0</v>
      </c>
      <c r="AC14">
        <f t="shared" si="17"/>
        <v>0.19880078156714021</v>
      </c>
    </row>
    <row r="15" spans="1:29" x14ac:dyDescent="0.35">
      <c r="A15" s="1">
        <v>44986</v>
      </c>
      <c r="B15" s="2">
        <v>4797.2299999999996</v>
      </c>
      <c r="C15" s="2">
        <v>4797.2299999999996</v>
      </c>
      <c r="D15" s="5">
        <f>VLOOKUP(A15,[1]ALL_DATA_MDA!$A$2:$E$80,5,0)</f>
        <v>54508.226142164676</v>
      </c>
      <c r="E15" s="5">
        <f>VLOOKUP(A15,[1]ALL_DATA_MDA!$A$2:$E$80,2,0)</f>
        <v>1369359.4319476932</v>
      </c>
      <c r="F15" s="5">
        <f>VLOOKUP(A15,[1]ALL_DATA_MDA!$A$2:$C$80,3,0)</f>
        <v>14.35464285714286</v>
      </c>
      <c r="G15" s="5">
        <f>VLOOKUP(A15,[1]ALL_DATA_MDA!$A$1:$D$80,4,0)</f>
        <v>23472029.381664127</v>
      </c>
      <c r="H15">
        <f>VLOOKUP(A15,[1]ALL_DATA_MDA!$A$4:$I$80,6,0)</f>
        <v>1144457.9223950868</v>
      </c>
      <c r="I15">
        <f>VLOOKUP(A15,[1]ALL_DATA_MDA!$A$4:$I$80,7,0)</f>
        <v>17.483136900015189</v>
      </c>
      <c r="J15">
        <f>VLOOKUP(A15,[1]ALL_DATA_MDA!$A$4:$I$80,8,0)</f>
        <v>15425306.095921926</v>
      </c>
      <c r="K15">
        <f>VLOOKUP(A15,[1]ALL_DATA_MDA!$A$4:$I$80,9,0)</f>
        <v>60124.993558864961</v>
      </c>
      <c r="L15">
        <f t="shared" si="0"/>
        <v>8.4757939469859735</v>
      </c>
      <c r="M15">
        <f t="shared" si="1"/>
        <v>8.5559080073943505</v>
      </c>
      <c r="N15" s="6">
        <f t="shared" si="2"/>
        <v>3.5032657519119817E-3</v>
      </c>
      <c r="O15" s="7">
        <f t="shared" si="9"/>
        <v>3.6968941089197886E-3</v>
      </c>
      <c r="P15" s="6">
        <f t="shared" si="3"/>
        <v>4.1917050038506459E-3</v>
      </c>
      <c r="Q15" s="6">
        <f t="shared" si="10"/>
        <v>4.4954614752822702E-3</v>
      </c>
      <c r="R15">
        <f t="shared" si="4"/>
        <v>16.971320031139172</v>
      </c>
      <c r="S15">
        <f t="shared" si="5"/>
        <v>14.129853620538951</v>
      </c>
      <c r="T15">
        <f t="shared" si="6"/>
        <v>13.950441652644374</v>
      </c>
      <c r="U15">
        <f t="shared" si="7"/>
        <v>10.906106907649626</v>
      </c>
      <c r="V15">
        <f t="shared" si="8"/>
        <v>2.6640734339283076</v>
      </c>
      <c r="W15">
        <f t="shared" si="11"/>
        <v>2.4733792781130859E-2</v>
      </c>
      <c r="X15">
        <f t="shared" si="12"/>
        <v>-8.8881348093647006E-2</v>
      </c>
      <c r="Y15">
        <f t="shared" si="13"/>
        <v>9.0245240851762887E-3</v>
      </c>
      <c r="Z15">
        <f t="shared" si="14"/>
        <v>8.1442034963926933E-5</v>
      </c>
      <c r="AA15">
        <f t="shared" si="16"/>
        <v>-0.31814723106347831</v>
      </c>
      <c r="AB15">
        <f t="shared" si="15"/>
        <v>9.0245240851762887E-3</v>
      </c>
      <c r="AC15">
        <f t="shared" si="17"/>
        <v>0.1412994867775943</v>
      </c>
    </row>
    <row r="16" spans="1:29" x14ac:dyDescent="0.35">
      <c r="A16" s="1">
        <v>45078</v>
      </c>
      <c r="B16" s="2">
        <v>5197.37</v>
      </c>
      <c r="C16" s="2">
        <v>5197.37</v>
      </c>
      <c r="D16" s="5">
        <f>VLOOKUP(A16,[1]ALL_DATA_MDA!$A$2:$E$80,5,0)</f>
        <v>70178.798810089414</v>
      </c>
      <c r="E16" s="5">
        <f>VLOOKUP(A16,[1]ALL_DATA_MDA!$A$2:$E$80,2,0)</f>
        <v>1666038.5811597346</v>
      </c>
      <c r="F16" s="5">
        <f>VLOOKUP(A16,[1]ALL_DATA_MDA!$A$2:$C$80,3,0)</f>
        <v>11.180476190476192</v>
      </c>
      <c r="G16" s="5">
        <f>VLOOKUP(A16,[1]ALL_DATA_MDA!$A$1:$D$80,4,0)</f>
        <v>25821331.049052782</v>
      </c>
      <c r="H16">
        <f>VLOOKUP(A16,[1]ALL_DATA_MDA!$A$4:$I$80,6,0)</f>
        <v>1548174.4231967386</v>
      </c>
      <c r="I16">
        <f>VLOOKUP(A16,[1]ALL_DATA_MDA!$A$4:$I$80,7,0)</f>
        <v>11.87740249129955</v>
      </c>
      <c r="J16">
        <f>VLOOKUP(A16,[1]ALL_DATA_MDA!$A$4:$I$80,8,0)</f>
        <v>25054653.264734786</v>
      </c>
      <c r="K16">
        <f>VLOOKUP(A16,[1]ALL_DATA_MDA!$A$4:$I$80,9,0)</f>
        <v>64361.874296552931</v>
      </c>
      <c r="L16">
        <f t="shared" si="0"/>
        <v>8.5559080073943505</v>
      </c>
      <c r="M16">
        <f t="shared" si="1"/>
        <v>8.4757939469859735</v>
      </c>
      <c r="N16" s="6">
        <f t="shared" si="2"/>
        <v>3.1195976244332195E-3</v>
      </c>
      <c r="O16" s="7">
        <f t="shared" si="9"/>
        <v>3.3114316881726006E-3</v>
      </c>
      <c r="P16" s="6">
        <f t="shared" si="3"/>
        <v>3.3570958944459514E-3</v>
      </c>
      <c r="Q16" s="6">
        <f t="shared" si="10"/>
        <v>3.7744004491482987E-3</v>
      </c>
      <c r="R16">
        <f t="shared" si="4"/>
        <v>17.066711493140534</v>
      </c>
      <c r="S16">
        <f t="shared" si="5"/>
        <v>14.325959259399808</v>
      </c>
      <c r="T16">
        <f t="shared" si="6"/>
        <v>14.252587003267973</v>
      </c>
      <c r="U16">
        <f t="shared" si="7"/>
        <v>11.158801533147033</v>
      </c>
      <c r="V16">
        <f t="shared" si="8"/>
        <v>2.4141690598857433</v>
      </c>
      <c r="W16">
        <f t="shared" si="11"/>
        <v>0.19610563886085686</v>
      </c>
      <c r="X16">
        <f t="shared" si="12"/>
        <v>0.25269462549740673</v>
      </c>
      <c r="Y16">
        <f t="shared" si="13"/>
        <v>-0.24990437404256438</v>
      </c>
      <c r="Z16">
        <f t="shared" si="14"/>
        <v>6.2452196165605926E-2</v>
      </c>
      <c r="AA16">
        <f t="shared" si="16"/>
        <v>9.0245240851762887E-3</v>
      </c>
      <c r="AB16">
        <f t="shared" si="15"/>
        <v>0</v>
      </c>
      <c r="AC16">
        <f t="shared" si="17"/>
        <v>2.4733792781130859E-2</v>
      </c>
    </row>
    <row r="17" spans="1:29" x14ac:dyDescent="0.35">
      <c r="A17" s="1">
        <v>45170</v>
      </c>
      <c r="B17" s="2">
        <v>5941.18</v>
      </c>
      <c r="C17" s="2">
        <v>5941.18</v>
      </c>
      <c r="D17" s="5">
        <f>VLOOKUP(A17,[1]ALL_DATA_MDA!$A$2:$E$80,5,0)</f>
        <v>93248.859006593659</v>
      </c>
      <c r="E17" s="5">
        <f>VLOOKUP(A17,[1]ALL_DATA_MDA!$A$2:$E$80,2,0)</f>
        <v>1872309.326720899</v>
      </c>
      <c r="F17" s="5">
        <f>VLOOKUP(A17,[1]ALL_DATA_MDA!$A$2:$C$80,3,0)</f>
        <v>11.197125</v>
      </c>
      <c r="G17" s="5">
        <f>VLOOKUP(A17,[1]ALL_DATA_MDA!$A$1:$D$80,4,0)</f>
        <v>35680434.778807446</v>
      </c>
      <c r="H17">
        <f>VLOOKUP(A17,[1]ALL_DATA_MDA!$A$4:$I$80,6,0)</f>
        <v>1682162.4394328308</v>
      </c>
      <c r="I17">
        <f>VLOOKUP(A17,[1]ALL_DATA_MDA!$A$4:$I$80,7,0)</f>
        <v>11.608127382013413</v>
      </c>
      <c r="J17">
        <f>VLOOKUP(A17,[1]ALL_DATA_MDA!$A$4:$I$80,8,0)</f>
        <v>28789790.540865015</v>
      </c>
      <c r="K17">
        <f>VLOOKUP(A17,[1]ALL_DATA_MDA!$A$4:$I$80,9,0)</f>
        <v>75659.561559623049</v>
      </c>
      <c r="L17">
        <f t="shared" si="0"/>
        <v>8.6896630458264106</v>
      </c>
      <c r="M17">
        <f t="shared" si="1"/>
        <v>8.5559080073943505</v>
      </c>
      <c r="N17" s="6">
        <f t="shared" si="2"/>
        <v>3.1731829325473628E-3</v>
      </c>
      <c r="O17" s="7">
        <f t="shared" si="9"/>
        <v>3.1463902784902914E-3</v>
      </c>
      <c r="P17" s="6">
        <f t="shared" si="3"/>
        <v>3.5318705618008974E-3</v>
      </c>
      <c r="Q17" s="6">
        <f t="shared" si="10"/>
        <v>3.4444832281234246E-3</v>
      </c>
      <c r="R17">
        <f t="shared" si="4"/>
        <v>17.390113051106532</v>
      </c>
      <c r="S17">
        <f t="shared" si="5"/>
        <v>14.442683161002234</v>
      </c>
      <c r="T17">
        <f t="shared" si="6"/>
        <v>14.335590690020101</v>
      </c>
      <c r="U17">
        <f t="shared" si="7"/>
        <v>11.44302710157698</v>
      </c>
      <c r="V17">
        <f t="shared" si="8"/>
        <v>2.41565704892031</v>
      </c>
      <c r="W17">
        <f t="shared" si="11"/>
        <v>0.11672390160242685</v>
      </c>
      <c r="X17">
        <f t="shared" si="12"/>
        <v>0.28422556842994773</v>
      </c>
      <c r="Y17">
        <f t="shared" si="13"/>
        <v>1.4879890345667057E-3</v>
      </c>
      <c r="Z17">
        <f t="shared" si="14"/>
        <v>2.2141113669907571E-6</v>
      </c>
      <c r="AA17">
        <f t="shared" si="16"/>
        <v>-0.24990437404256438</v>
      </c>
      <c r="AB17">
        <f t="shared" si="15"/>
        <v>1.4879890345667057E-3</v>
      </c>
      <c r="AC17">
        <f t="shared" si="17"/>
        <v>0.19610563886085686</v>
      </c>
    </row>
    <row r="18" spans="1:29" x14ac:dyDescent="0.35">
      <c r="A18" s="1">
        <v>45261</v>
      </c>
      <c r="B18" s="2">
        <v>6636.76</v>
      </c>
      <c r="C18" s="2">
        <v>6636.76</v>
      </c>
      <c r="D18" s="5">
        <f>VLOOKUP(A18,[1]ALL_DATA_MDA!$A$2:$E$80,5,0)</f>
        <v>119557.19901648766</v>
      </c>
      <c r="E18" s="5">
        <f>VLOOKUP(A18,[1]ALL_DATA_MDA!$A$2:$E$80,2,0)</f>
        <v>2102335.7054934455</v>
      </c>
      <c r="F18" s="5">
        <f>VLOOKUP(A18,[1]ALL_DATA_MDA!$A$2:$C$80,3,0)</f>
        <v>13.512874999999999</v>
      </c>
      <c r="G18" s="5">
        <f>VLOOKUP(A18,[1]ALL_DATA_MDA!$A$1:$D$80,4,0)</f>
        <v>44922456.588374816</v>
      </c>
      <c r="H18">
        <f>VLOOKUP(A18,[1]ALL_DATA_MDA!$A$4:$I$80,6,0)</f>
        <v>1773545.1178908767</v>
      </c>
      <c r="I18">
        <f>VLOOKUP(A18,[1]ALL_DATA_MDA!$A$4:$I$80,7,0)</f>
        <v>11.760455953088305</v>
      </c>
      <c r="J18">
        <f>VLOOKUP(A18,[1]ALL_DATA_MDA!$A$4:$I$80,8,0)</f>
        <v>32093910.650926847</v>
      </c>
      <c r="K18">
        <f>VLOOKUP(A18,[1]ALL_DATA_MDA!$A$4:$I$80,9,0)</f>
        <v>81097.136127567894</v>
      </c>
      <c r="L18">
        <f t="shared" si="0"/>
        <v>8.8003791715760276</v>
      </c>
      <c r="M18">
        <f t="shared" si="1"/>
        <v>8.6896630458264106</v>
      </c>
      <c r="N18" s="6">
        <f t="shared" si="2"/>
        <v>3.1568507268644169E-3</v>
      </c>
      <c r="O18" s="7">
        <f t="shared" si="9"/>
        <v>3.1650168297058896E-3</v>
      </c>
      <c r="P18" s="6">
        <f t="shared" si="3"/>
        <v>3.742086926941291E-3</v>
      </c>
      <c r="Q18" s="6">
        <f t="shared" si="10"/>
        <v>3.6369787443710942E-3</v>
      </c>
      <c r="R18">
        <f t="shared" si="4"/>
        <v>17.620448374415197</v>
      </c>
      <c r="S18">
        <f t="shared" si="5"/>
        <v>14.558559525323377</v>
      </c>
      <c r="T18">
        <f t="shared" si="6"/>
        <v>14.388490992900909</v>
      </c>
      <c r="U18">
        <f t="shared" si="7"/>
        <v>11.691550188693602</v>
      </c>
      <c r="V18">
        <f t="shared" si="8"/>
        <v>2.603642934661651</v>
      </c>
      <c r="W18">
        <f t="shared" si="11"/>
        <v>0.11587636432114223</v>
      </c>
      <c r="X18">
        <f t="shared" si="12"/>
        <v>0.24852308711662197</v>
      </c>
      <c r="Y18">
        <f t="shared" si="13"/>
        <v>0.18798588574134101</v>
      </c>
      <c r="Z18">
        <f t="shared" si="14"/>
        <v>3.5338693237956513E-2</v>
      </c>
      <c r="AA18">
        <f t="shared" si="16"/>
        <v>1.4879890345667057E-3</v>
      </c>
      <c r="AB18">
        <f t="shared" si="15"/>
        <v>0.18798588574134101</v>
      </c>
      <c r="AC18">
        <f t="shared" si="17"/>
        <v>0.11672390160242685</v>
      </c>
    </row>
    <row r="19" spans="1:29" x14ac:dyDescent="0.35">
      <c r="A19" s="1">
        <v>45352</v>
      </c>
      <c r="B19" s="2">
        <v>8818.99</v>
      </c>
      <c r="C19" s="2">
        <v>8818.99</v>
      </c>
      <c r="D19" s="5">
        <f>VLOOKUP(A19,[1]ALL_DATA_MDA!$A$2:$E$80,5,0)</f>
        <v>116014.91521431155</v>
      </c>
      <c r="E19" s="5">
        <f>VLOOKUP(A19,[1]ALL_DATA_MDA!$A$2:$E$80,2,0)</f>
        <v>2138084.9010960306</v>
      </c>
      <c r="F19" s="5">
        <f>VLOOKUP(A19,[1]ALL_DATA_MDA!$A$2:$C$80,3,0)</f>
        <v>13.756842105263157</v>
      </c>
      <c r="G19" s="5">
        <f>VLOOKUP(A19,[1]ALL_DATA_MDA!$A$1:$D$80,4,0)</f>
        <v>48237727.605657011</v>
      </c>
      <c r="H19">
        <f>VLOOKUP(A19,[1]ALL_DATA_MDA!$A$4:$I$80,6,0)</f>
        <v>1865547.3766541586</v>
      </c>
      <c r="I19">
        <f>VLOOKUP(A19,[1]ALL_DATA_MDA!$A$4:$I$80,7,0)</f>
        <v>12.436604780947468</v>
      </c>
      <c r="J19">
        <f>VLOOKUP(A19,[1]ALL_DATA_MDA!$A$4:$I$80,8,0)</f>
        <v>35926833.283691794</v>
      </c>
      <c r="K19">
        <f>VLOOKUP(A19,[1]ALL_DATA_MDA!$A$4:$I$80,9,0)</f>
        <v>92440.379579920205</v>
      </c>
      <c r="L19">
        <f t="shared" si="0"/>
        <v>9.0846626299721276</v>
      </c>
      <c r="M19">
        <f t="shared" si="1"/>
        <v>8.8003791715760276</v>
      </c>
      <c r="N19" s="6">
        <f t="shared" si="2"/>
        <v>4.1247145964499292E-3</v>
      </c>
      <c r="O19" s="7">
        <f t="shared" si="9"/>
        <v>3.640782661657173E-3</v>
      </c>
      <c r="P19" s="6">
        <f t="shared" si="3"/>
        <v>4.727293506647242E-3</v>
      </c>
      <c r="Q19" s="6">
        <f t="shared" si="10"/>
        <v>4.2346902167942667E-3</v>
      </c>
      <c r="R19">
        <f t="shared" si="4"/>
        <v>17.691652003254962</v>
      </c>
      <c r="S19">
        <f t="shared" si="5"/>
        <v>14.575421080300684</v>
      </c>
      <c r="T19">
        <f t="shared" si="6"/>
        <v>14.439065067543952</v>
      </c>
      <c r="U19">
        <f t="shared" si="7"/>
        <v>11.661474041256595</v>
      </c>
      <c r="V19">
        <f t="shared" si="8"/>
        <v>2.6215363080024492</v>
      </c>
      <c r="W19">
        <f t="shared" si="11"/>
        <v>1.6861554977307236E-2</v>
      </c>
      <c r="X19">
        <f t="shared" si="12"/>
        <v>-3.0076147437007705E-2</v>
      </c>
      <c r="Y19">
        <f t="shared" si="13"/>
        <v>1.7893373340798213E-2</v>
      </c>
      <c r="Z19">
        <f t="shared" si="14"/>
        <v>3.2017280951318822E-4</v>
      </c>
      <c r="AA19">
        <f t="shared" si="16"/>
        <v>0.18798588574134101</v>
      </c>
      <c r="AB19">
        <f t="shared" si="15"/>
        <v>1.7893373340798213E-2</v>
      </c>
      <c r="AC19">
        <f t="shared" si="17"/>
        <v>0.11587636432114223</v>
      </c>
    </row>
    <row r="20" spans="1:29" x14ac:dyDescent="0.35">
      <c r="A20" s="1">
        <v>45444</v>
      </c>
      <c r="B20" s="2">
        <v>9130.2800000000007</v>
      </c>
      <c r="C20" s="2">
        <v>9130.2800000000007</v>
      </c>
      <c r="D20" s="5">
        <f>VLOOKUP(A20,[1]ALL_DATA_MDA!$A$2:$E$80,5,0)</f>
        <v>172986.73988465717</v>
      </c>
      <c r="E20" s="5">
        <f>VLOOKUP(A20,[1]ALL_DATA_MDA!$A$2:$E$80,2,0)</f>
        <v>2356652.8165251957</v>
      </c>
      <c r="F20" s="5">
        <f>VLOOKUP(A20,[1]ALL_DATA_MDA!$A$2:$C$80,3,0)</f>
        <v>15.562368421052632</v>
      </c>
      <c r="G20" s="5">
        <f>VLOOKUP(A20,[1]ALL_DATA_MDA!$A$1:$D$80,4,0)</f>
        <v>49681649.52909065</v>
      </c>
      <c r="H20">
        <f>VLOOKUP(A20,[1]ALL_DATA_MDA!$A$4:$I$80,6,0)</f>
        <v>2256819.4668987463</v>
      </c>
      <c r="I20">
        <f>VLOOKUP(A20,[1]ALL_DATA_MDA!$A$4:$I$80,7,0)</f>
        <v>15.82038038277512</v>
      </c>
      <c r="J20">
        <f>VLOOKUP(A20,[1]ALL_DATA_MDA!$A$4:$I$80,8,0)</f>
        <v>46379464.534187101</v>
      </c>
      <c r="K20">
        <f>VLOOKUP(A20,[1]ALL_DATA_MDA!$A$4:$I$80,9,0)</f>
        <v>140354.23306817259</v>
      </c>
      <c r="L20">
        <f t="shared" si="0"/>
        <v>9.1193516412458102</v>
      </c>
      <c r="M20">
        <f t="shared" si="1"/>
        <v>9.0846626299721276</v>
      </c>
      <c r="N20" s="6">
        <f t="shared" si="2"/>
        <v>3.8742575639386235E-3</v>
      </c>
      <c r="O20" s="7">
        <f t="shared" si="9"/>
        <v>3.9994860801942766E-3</v>
      </c>
      <c r="P20" s="6">
        <f t="shared" si="3"/>
        <v>4.0456403952180359E-3</v>
      </c>
      <c r="Q20" s="6">
        <f t="shared" si="10"/>
        <v>4.3864669509326385E-3</v>
      </c>
      <c r="R20">
        <f t="shared" si="4"/>
        <v>17.721146198119822</v>
      </c>
      <c r="S20">
        <f t="shared" si="5"/>
        <v>14.672752872182508</v>
      </c>
      <c r="T20">
        <f t="shared" si="6"/>
        <v>14.629467064518376</v>
      </c>
      <c r="U20">
        <f t="shared" si="7"/>
        <v>12.060970222476737</v>
      </c>
      <c r="V20">
        <f t="shared" si="8"/>
        <v>2.7448557193170635</v>
      </c>
      <c r="W20">
        <f t="shared" si="11"/>
        <v>9.7331791881824614E-2</v>
      </c>
      <c r="X20">
        <f t="shared" si="12"/>
        <v>0.39949618122014208</v>
      </c>
      <c r="Y20">
        <f t="shared" si="13"/>
        <v>0.12331941131461432</v>
      </c>
      <c r="Z20">
        <f t="shared" si="14"/>
        <v>1.5207677206983027E-2</v>
      </c>
      <c r="AA20">
        <f t="shared" si="16"/>
        <v>1.7893373340798213E-2</v>
      </c>
      <c r="AB20">
        <f t="shared" si="15"/>
        <v>0.12331941131461432</v>
      </c>
      <c r="AC20">
        <f t="shared" si="17"/>
        <v>1.6861554977307236E-2</v>
      </c>
    </row>
    <row r="21" spans="1:29" x14ac:dyDescent="0.35">
      <c r="A21" s="1">
        <v>45536</v>
      </c>
      <c r="B21" s="2">
        <v>9428.5499999999993</v>
      </c>
      <c r="C21" s="2">
        <v>9428.5499999999993</v>
      </c>
      <c r="D21" s="5">
        <f>VLOOKUP(A21,[1]ALL_DATA_MDA!$A$2:$E$80,5,0)</f>
        <v>135382.62796746386</v>
      </c>
      <c r="E21" s="5">
        <f>VLOOKUP(A21,[1]ALL_DATA_MDA!$A$2:$E$80,2,0)</f>
        <v>2765841.1152776815</v>
      </c>
      <c r="F21" s="5">
        <f>VLOOKUP(A21,[1]ALL_DATA_MDA!$A$2:$C$80,3,0)</f>
        <v>13.286547619047621</v>
      </c>
      <c r="G21" s="5">
        <f>VLOOKUP(A21,[1]ALL_DATA_MDA!$A$1:$D$80,4,0)</f>
        <v>53700455.66813837</v>
      </c>
      <c r="H21">
        <f>VLOOKUP(A21,[1]ALL_DATA_MDA!$A$4:$I$80,6,0)</f>
        <v>2420274.6484999573</v>
      </c>
      <c r="I21">
        <f>VLOOKUP(A21,[1]ALL_DATA_MDA!$A$4:$I$80,7,0)</f>
        <v>14.864829441026812</v>
      </c>
      <c r="J21">
        <f>VLOOKUP(A21,[1]ALL_DATA_MDA!$A$4:$I$80,8,0)</f>
        <v>48730646.338373691</v>
      </c>
      <c r="K21">
        <f>VLOOKUP(A21,[1]ALL_DATA_MDA!$A$4:$I$80,9,0)</f>
        <v>142503.57919461219</v>
      </c>
      <c r="L21">
        <f t="shared" si="0"/>
        <v>9.1514975992233936</v>
      </c>
      <c r="M21">
        <f t="shared" si="1"/>
        <v>9.1193516412458102</v>
      </c>
      <c r="N21" s="6">
        <f t="shared" si="2"/>
        <v>3.408926835283307E-3</v>
      </c>
      <c r="O21" s="7">
        <f t="shared" si="9"/>
        <v>3.6415921996109653E-3</v>
      </c>
      <c r="P21" s="6">
        <f t="shared" si="3"/>
        <v>3.8956529193261784E-3</v>
      </c>
      <c r="Q21" s="6">
        <f t="shared" si="10"/>
        <v>3.970646657272107E-3</v>
      </c>
      <c r="R21">
        <f t="shared" si="4"/>
        <v>17.798932044883284</v>
      </c>
      <c r="S21">
        <f t="shared" si="5"/>
        <v>14.832855347502637</v>
      </c>
      <c r="T21">
        <f t="shared" si="6"/>
        <v>14.699391582808925</v>
      </c>
      <c r="U21">
        <f t="shared" si="7"/>
        <v>11.815860329659271</v>
      </c>
      <c r="V21">
        <f t="shared" si="8"/>
        <v>2.5867520661452108</v>
      </c>
      <c r="W21">
        <f t="shared" si="11"/>
        <v>0.16010247532012833</v>
      </c>
      <c r="X21">
        <f t="shared" si="12"/>
        <v>-0.24510989281746554</v>
      </c>
      <c r="Y21">
        <f t="shared" si="13"/>
        <v>-0.15810365317185271</v>
      </c>
      <c r="Z21">
        <f t="shared" si="14"/>
        <v>2.4996765146285491E-2</v>
      </c>
      <c r="AA21">
        <f t="shared" si="16"/>
        <v>0.12331941131461432</v>
      </c>
      <c r="AB21">
        <f t="shared" si="15"/>
        <v>0</v>
      </c>
      <c r="AC21">
        <f t="shared" si="17"/>
        <v>9.7331791881824614E-2</v>
      </c>
    </row>
    <row r="22" spans="1:29" x14ac:dyDescent="0.35">
      <c r="A22" s="1">
        <v>45627</v>
      </c>
      <c r="B22" s="2">
        <v>11673.78</v>
      </c>
      <c r="C22" s="2">
        <v>11673.78</v>
      </c>
      <c r="D22" s="5">
        <f>VLOOKUP(A22,[1]ALL_DATA_MDA!$A$2:$E$80,5,0)</f>
        <v>114638.54966888631</v>
      </c>
      <c r="E22" s="5">
        <f>VLOOKUP(A22,[1]ALL_DATA_MDA!$A$2:$E$80,2,0)</f>
        <v>2486473.8460738845</v>
      </c>
      <c r="F22" s="5">
        <f>VLOOKUP(A22,[1]ALL_DATA_MDA!$A$2:$C$80,3,0)</f>
        <v>14.020714285714288</v>
      </c>
      <c r="G22" s="5">
        <f>VLOOKUP(A22,[1]ALL_DATA_MDA!$A$1:$D$80,4,0)</f>
        <v>29443405.969990078</v>
      </c>
      <c r="H22">
        <f>VLOOKUP(A22,[1]ALL_DATA_MDA!$A$4:$I$80,6,0)</f>
        <v>2464461.9123678887</v>
      </c>
      <c r="I22">
        <f>VLOOKUP(A22,[1]ALL_DATA_MDA!$A$4:$I$80,7,0)</f>
        <v>14.710757126401866</v>
      </c>
      <c r="J22">
        <f>VLOOKUP(A22,[1]ALL_DATA_MDA!$A$4:$I$80,8,0)</f>
        <v>46637382.225578099</v>
      </c>
      <c r="K22">
        <f>VLOOKUP(A22,[1]ALL_DATA_MDA!$A$4:$I$80,9,0)</f>
        <v>133746.32063943916</v>
      </c>
      <c r="L22">
        <f t="shared" si="0"/>
        <v>9.3651005802889191</v>
      </c>
      <c r="M22">
        <f t="shared" si="1"/>
        <v>9.1514975992233936</v>
      </c>
      <c r="N22" s="6">
        <f t="shared" si="2"/>
        <v>4.6949136498792348E-3</v>
      </c>
      <c r="O22" s="7">
        <f t="shared" si="9"/>
        <v>4.0519202425812707E-3</v>
      </c>
      <c r="P22" s="6">
        <f t="shared" si="3"/>
        <v>4.7368473991889265E-3</v>
      </c>
      <c r="Q22" s="6">
        <f t="shared" si="10"/>
        <v>4.3162501592575522E-3</v>
      </c>
      <c r="R22">
        <f t="shared" si="4"/>
        <v>17.197980537048579</v>
      </c>
      <c r="S22">
        <f t="shared" si="5"/>
        <v>14.72637613871197</v>
      </c>
      <c r="T22">
        <f t="shared" si="6"/>
        <v>14.717484050501305</v>
      </c>
      <c r="U22">
        <f t="shared" si="7"/>
        <v>11.649539411243435</v>
      </c>
      <c r="V22">
        <f t="shared" si="8"/>
        <v>2.6405358279344986</v>
      </c>
      <c r="W22">
        <f t="shared" si="11"/>
        <v>-0.10647920879066675</v>
      </c>
      <c r="X22">
        <f t="shared" si="12"/>
        <v>-0.16632091841583652</v>
      </c>
      <c r="Y22">
        <f t="shared" si="13"/>
        <v>5.3783761789287787E-2</v>
      </c>
      <c r="Z22">
        <f t="shared" si="14"/>
        <v>2.8926930322068531E-3</v>
      </c>
      <c r="AA22">
        <f t="shared" si="16"/>
        <v>-0.15810365317185271</v>
      </c>
      <c r="AB22">
        <f t="shared" si="15"/>
        <v>5.3783761789287787E-2</v>
      </c>
      <c r="AC22">
        <f t="shared" si="17"/>
        <v>0.16010247532012833</v>
      </c>
    </row>
    <row r="23" spans="1:29" x14ac:dyDescent="0.35">
      <c r="A23" s="1">
        <v>45717</v>
      </c>
      <c r="B23" s="2">
        <v>11978.58</v>
      </c>
      <c r="C23" s="2">
        <v>11978.58</v>
      </c>
      <c r="D23" s="5">
        <f>VLOOKUP(A23,[1]ALL_DATA_MDA!$A$2:$E$80,5,0)</f>
        <v>107611.92790112307</v>
      </c>
      <c r="E23" s="5">
        <f>VLOOKUP(A23,[1]ALL_DATA_MDA!$A$2:$E$80,2,0)</f>
        <v>2231725.2157410216</v>
      </c>
      <c r="F23" s="5">
        <f>VLOOKUP(A23,[1]ALL_DATA_MDA!$A$2:$C$80,3,0)</f>
        <v>13.443684210526316</v>
      </c>
      <c r="G23" s="5">
        <f>VLOOKUP(A23,[1]ALL_DATA_MDA!$A$1:$D$80,4,0)</f>
        <v>35163822.061157756</v>
      </c>
      <c r="H23">
        <f>VLOOKUP(A23,[1]ALL_DATA_MDA!$A$4:$I$80,6,0)</f>
        <v>2395941.8702872782</v>
      </c>
      <c r="I23">
        <f>VLOOKUP(A23,[1]ALL_DATA_MDA!$A$4:$I$80,7,0)</f>
        <v>14.689038358722073</v>
      </c>
      <c r="J23">
        <f>VLOOKUP(A23,[1]ALL_DATA_MDA!$A$4:$I$80,8,0)</f>
        <v>42763992.240051143</v>
      </c>
      <c r="K23">
        <f>VLOOKUP(A23,[1]ALL_DATA_MDA!$A$4:$I$80,9,0)</f>
        <v>126430.66245521726</v>
      </c>
      <c r="L23">
        <f t="shared" si="0"/>
        <v>9.3908753337592916</v>
      </c>
      <c r="M23">
        <f t="shared" si="1"/>
        <v>9.3651005802889191</v>
      </c>
      <c r="N23" s="6">
        <f t="shared" si="2"/>
        <v>5.3674081000257166E-3</v>
      </c>
      <c r="O23" s="7">
        <f t="shared" si="9"/>
        <v>5.0311608749524757E-3</v>
      </c>
      <c r="P23" s="6">
        <f t="shared" si="3"/>
        <v>4.9995286398846327E-3</v>
      </c>
      <c r="Q23" s="6">
        <f t="shared" si="10"/>
        <v>4.8681880195367792E-3</v>
      </c>
      <c r="R23">
        <f t="shared" si="4"/>
        <v>17.375528329684396</v>
      </c>
      <c r="S23">
        <f t="shared" si="5"/>
        <v>14.618285483677388</v>
      </c>
      <c r="T23">
        <f t="shared" si="6"/>
        <v>14.689286976774289</v>
      </c>
      <c r="U23">
        <f t="shared" si="7"/>
        <v>11.586286774665616</v>
      </c>
      <c r="V23">
        <f t="shared" si="8"/>
        <v>2.598509420337229</v>
      </c>
      <c r="W23">
        <f t="shared" si="11"/>
        <v>-0.10809065503458193</v>
      </c>
      <c r="X23">
        <f t="shared" si="12"/>
        <v>-6.3252636577818322E-2</v>
      </c>
      <c r="Y23">
        <f t="shared" si="13"/>
        <v>-4.2026407597269611E-2</v>
      </c>
      <c r="Z23">
        <f t="shared" si="14"/>
        <v>1.7662189355318408E-3</v>
      </c>
      <c r="AA23">
        <f t="shared" si="16"/>
        <v>5.3783761789287787E-2</v>
      </c>
      <c r="AB23">
        <f t="shared" si="15"/>
        <v>0</v>
      </c>
      <c r="AC23">
        <f t="shared" si="17"/>
        <v>-0.10647920879066675</v>
      </c>
    </row>
    <row r="24" spans="1:29" x14ac:dyDescent="0.35">
      <c r="A24" s="1">
        <v>45809</v>
      </c>
      <c r="B24" s="2">
        <v>12226.74</v>
      </c>
      <c r="C24" s="2">
        <v>12226.74</v>
      </c>
      <c r="D24" s="5">
        <f>VLOOKUP(A24,[1]ALL_DATA_MDA!$A$2:$E$80,5,0)</f>
        <v>127477.67025679621</v>
      </c>
      <c r="E24" s="5">
        <f>VLOOKUP(A24,[1]ALL_DATA_MDA!$A$2:$E$80,2,0)</f>
        <v>2268537.784506951</v>
      </c>
      <c r="F24" s="5">
        <f>VLOOKUP(A24,[1]ALL_DATA_MDA!$A$2:$C$80,3,0)</f>
        <v>14.310952380952379</v>
      </c>
      <c r="G24" s="5">
        <f>VLOOKUP(A24,[1]ALL_DATA_MDA!$A$1:$D$80,4,0)</f>
        <v>33407874.641389899</v>
      </c>
      <c r="H24">
        <f>VLOOKUP(A24,[1]ALL_DATA_MDA!$A$4:$I$80,6,0)</f>
        <v>2224845.0720832911</v>
      </c>
      <c r="I24">
        <f>VLOOKUP(A24,[1]ALL_DATA_MDA!$A$4:$I$80,7,0)</f>
        <v>16.387585630743523</v>
      </c>
      <c r="J24">
        <f>VLOOKUP(A24,[1]ALL_DATA_MDA!$A$4:$I$80,8,0)</f>
        <v>34773882.654840119</v>
      </c>
      <c r="K24">
        <f>VLOOKUP(A24,[1]ALL_DATA_MDA!$A$4:$I$80,9,0)</f>
        <v>121278.04817975375</v>
      </c>
      <c r="L24">
        <f t="shared" si="0"/>
        <v>9.4113806355032796</v>
      </c>
      <c r="M24">
        <f t="shared" si="1"/>
        <v>9.3908753337592916</v>
      </c>
      <c r="N24" s="6">
        <f t="shared" si="2"/>
        <v>5.3897008387970872E-3</v>
      </c>
      <c r="O24" s="7">
        <f t="shared" si="9"/>
        <v>5.3785544694114019E-3</v>
      </c>
      <c r="P24" s="6">
        <f t="shared" si="3"/>
        <v>5.495546702742396E-3</v>
      </c>
      <c r="Q24" s="6">
        <f t="shared" si="10"/>
        <v>5.2475376713135144E-3</v>
      </c>
      <c r="R24">
        <f t="shared" si="4"/>
        <v>17.324302197864377</v>
      </c>
      <c r="S24">
        <f t="shared" si="5"/>
        <v>14.634646034110967</v>
      </c>
      <c r="T24">
        <f t="shared" si="6"/>
        <v>14.615197840633797</v>
      </c>
      <c r="U24">
        <f t="shared" si="7"/>
        <v>11.755696493001837</v>
      </c>
      <c r="V24">
        <f t="shared" si="8"/>
        <v>2.6610251448794449</v>
      </c>
      <c r="W24">
        <f t="shared" si="11"/>
        <v>1.6360550433578425E-2</v>
      </c>
      <c r="X24">
        <f t="shared" si="12"/>
        <v>0.16940971833622065</v>
      </c>
      <c r="Y24">
        <f t="shared" si="13"/>
        <v>6.2515724542215878E-2</v>
      </c>
      <c r="Z24">
        <f t="shared" si="14"/>
        <v>3.9082158150382127E-3</v>
      </c>
      <c r="AA24">
        <f t="shared" si="16"/>
        <v>-4.2026407597269611E-2</v>
      </c>
      <c r="AB24">
        <f t="shared" si="15"/>
        <v>6.2515724542215878E-2</v>
      </c>
      <c r="AC24">
        <f t="shared" si="17"/>
        <v>-0.10809065503458193</v>
      </c>
    </row>
    <row r="25" spans="1:29" x14ac:dyDescent="0.35">
      <c r="A25" s="1">
        <v>45901</v>
      </c>
      <c r="B25" s="2">
        <v>12487.43</v>
      </c>
      <c r="C25" s="2">
        <v>12487.43</v>
      </c>
      <c r="D25" s="5">
        <f>VLOOKUP(A25,[1]ALL_DATA_MDA!$A$2:$E$80,5,0)</f>
        <v>111678.46988357695</v>
      </c>
      <c r="E25" s="5">
        <f>VLOOKUP(A25,[1]ALL_DATA_MDA!$A$2:$E$80,2,0)</f>
        <v>2374375.3588008792</v>
      </c>
      <c r="F25" s="5">
        <f>VLOOKUP(A25,[1]ALL_DATA_MDA!$A$2:$C$80,3,0)</f>
        <v>10.67909090909091</v>
      </c>
      <c r="G25" s="5">
        <f>VLOOKUP(A25,[1]ALL_DATA_MDA!$A$1:$D$80,4,0)</f>
        <v>42184354.376300566</v>
      </c>
      <c r="H25">
        <f>VLOOKUP(A25,[1]ALL_DATA_MDA!$A$4:$I$80,6,0)</f>
        <v>2249667.7950876318</v>
      </c>
      <c r="I25">
        <f>VLOOKUP(A25,[1]ALL_DATA_MDA!$A$4:$I$80,7,0)</f>
        <v>13.90870995010583</v>
      </c>
      <c r="J25">
        <f>VLOOKUP(A25,[1]ALL_DATA_MDA!$A$4:$I$80,8,0)</f>
        <v>37215510.304454349</v>
      </c>
      <c r="K25">
        <f>VLOOKUP(A25,[1]ALL_DATA_MDA!$A$4:$I$80,9,0)</f>
        <v>115507.29097899364</v>
      </c>
      <c r="L25">
        <f t="shared" si="0"/>
        <v>9.4324778173354922</v>
      </c>
      <c r="M25">
        <f t="shared" si="1"/>
        <v>9.4113806355032796</v>
      </c>
      <c r="N25" s="6">
        <f t="shared" si="2"/>
        <v>5.2592484813801616E-3</v>
      </c>
      <c r="O25" s="7">
        <f t="shared" si="9"/>
        <v>5.3244746600886244E-3</v>
      </c>
      <c r="P25" s="6">
        <f t="shared" si="3"/>
        <v>5.550788444083841E-3</v>
      </c>
      <c r="Q25" s="6">
        <f t="shared" si="10"/>
        <v>5.523167573413118E-3</v>
      </c>
      <c r="R25">
        <f t="shared" si="4"/>
        <v>17.557559960884934</v>
      </c>
      <c r="S25">
        <f t="shared" si="5"/>
        <v>14.680244954037837</v>
      </c>
      <c r="T25">
        <f t="shared" si="6"/>
        <v>14.626293116652047</v>
      </c>
      <c r="U25">
        <f t="shared" si="7"/>
        <v>11.623379217003137</v>
      </c>
      <c r="V25">
        <f t="shared" si="8"/>
        <v>2.3682877090374239</v>
      </c>
      <c r="W25">
        <f t="shared" si="11"/>
        <v>4.5598919926870707E-2</v>
      </c>
      <c r="X25">
        <f t="shared" si="12"/>
        <v>-0.13231727599869991</v>
      </c>
      <c r="Y25">
        <f t="shared" si="13"/>
        <v>-0.29273743584202094</v>
      </c>
      <c r="Z25">
        <f t="shared" si="14"/>
        <v>8.5695206343361321E-2</v>
      </c>
      <c r="AA25">
        <f t="shared" si="16"/>
        <v>6.2515724542215878E-2</v>
      </c>
      <c r="AB25">
        <f t="shared" si="15"/>
        <v>0</v>
      </c>
      <c r="AC25">
        <f t="shared" si="17"/>
        <v>1.6360550433578425E-2</v>
      </c>
    </row>
    <row r="26" spans="1:29" x14ac:dyDescent="0.35">
      <c r="A26" s="1">
        <v>45992</v>
      </c>
      <c r="B26" s="2">
        <v>12734.12</v>
      </c>
      <c r="C26" s="2">
        <v>12734.12</v>
      </c>
      <c r="D26" s="5">
        <f>VLOOKUP(A26,[1]ALL_DATA_MDA!$A$2:$E$80,5,0)</f>
        <v>106721.82544598352</v>
      </c>
      <c r="E26" s="5">
        <f>VLOOKUP(A26,[1]ALL_DATA_MDA!$A$2:$E$80,2,0)</f>
        <v>2530015.2321747434</v>
      </c>
      <c r="F26" s="5">
        <f>VLOOKUP(A26,[1]ALL_DATA_MDA!$A$2:$C$80,3,0)</f>
        <v>10.198636363636366</v>
      </c>
      <c r="G26" s="5">
        <f>VLOOKUP(A26,[1]ALL_DATA_MDA!$A$1:$D$80,4,0)</f>
        <v>45842841.411619477</v>
      </c>
      <c r="H26">
        <f>VLOOKUP(A26,[1]ALL_DATA_MDA!$A$4:$I$80,6,0)</f>
        <v>2330186.4398257677</v>
      </c>
      <c r="I26">
        <f>VLOOKUP(A26,[1]ALL_DATA_MDA!$A$4:$I$80,7,0)</f>
        <v>13.001890150276877</v>
      </c>
      <c r="J26">
        <f>VLOOKUP(A26,[1]ALL_DATA_MDA!$A$4:$I$80,8,0)</f>
        <v>40794497.431895711</v>
      </c>
      <c r="K26">
        <f>VLOOKUP(A26,[1]ALL_DATA_MDA!$A$4:$I$80,9,0)</f>
        <v>115045.73111713196</v>
      </c>
      <c r="L26">
        <f t="shared" si="0"/>
        <v>9.4520402841229565</v>
      </c>
      <c r="M26">
        <f t="shared" si="1"/>
        <v>9.4324778173354922</v>
      </c>
      <c r="N26" s="6">
        <f t="shared" si="2"/>
        <v>5.033218708748264E-3</v>
      </c>
      <c r="O26" s="7">
        <f t="shared" si="9"/>
        <v>5.1462335950642132E-3</v>
      </c>
      <c r="P26" s="6">
        <f t="shared" si="3"/>
        <v>5.4648502722177694E-3</v>
      </c>
      <c r="Q26" s="6">
        <f t="shared" si="10"/>
        <v>5.5078193581508048E-3</v>
      </c>
      <c r="R26">
        <f t="shared" si="4"/>
        <v>17.640729613869013</v>
      </c>
      <c r="S26">
        <f t="shared" si="5"/>
        <v>14.743735881308007</v>
      </c>
      <c r="T26">
        <f t="shared" si="6"/>
        <v>14.661458839433291</v>
      </c>
      <c r="U26">
        <f t="shared" si="7"/>
        <v>11.577980966006756</v>
      </c>
      <c r="V26">
        <f t="shared" si="8"/>
        <v>2.3222540215133702</v>
      </c>
      <c r="W26">
        <f t="shared" si="11"/>
        <v>6.3490927270169806E-2</v>
      </c>
      <c r="X26">
        <f t="shared" si="12"/>
        <v>-4.5398250996381506E-2</v>
      </c>
      <c r="Y26">
        <f t="shared" si="13"/>
        <v>-4.6033687524053679E-2</v>
      </c>
      <c r="Z26">
        <f t="shared" si="14"/>
        <v>2.1191003870622152E-3</v>
      </c>
      <c r="AA26">
        <f t="shared" si="16"/>
        <v>-0.29273743584202094</v>
      </c>
      <c r="AB26">
        <f t="shared" si="15"/>
        <v>0</v>
      </c>
      <c r="AC26">
        <f t="shared" si="17"/>
        <v>4.5598919926870707E-2</v>
      </c>
    </row>
    <row r="27" spans="1:29" x14ac:dyDescent="0.35">
      <c r="A27" s="1">
        <v>46082</v>
      </c>
      <c r="B27" s="2">
        <v>13027.77</v>
      </c>
      <c r="C27" s="2">
        <v>13027.77</v>
      </c>
      <c r="D27" s="5">
        <f>VLOOKUP(A27,[1]ALL_DATA_MDA!$A$2:$E$80,5,0)</f>
        <v>139705.77101351085</v>
      </c>
      <c r="E27" s="5">
        <f>VLOOKUP(A27,[1]ALL_DATA_MDA!$A$2:$E$80,2,0)</f>
        <v>2232933.9561253428</v>
      </c>
      <c r="F27" s="5">
        <f>VLOOKUP(A27,[1]ALL_DATA_MDA!$A$2:$C$80,3,0)</f>
        <v>22.106842105263155</v>
      </c>
      <c r="G27" s="5">
        <f>VLOOKUP(A27,[1]ALL_DATA_MDA!$A$1:$D$80,4,0)</f>
        <v>50037399.074213259</v>
      </c>
      <c r="H27">
        <f>VLOOKUP(A27,[1]ALL_DATA_MDA!$A$4:$I$80,6,0)</f>
        <v>2346957.2887160419</v>
      </c>
      <c r="I27">
        <f>VLOOKUP(A27,[1]ALL_DATA_MDA!$A$4:$I$80,7,0)</f>
        <v>13.662559216717682</v>
      </c>
      <c r="J27">
        <f>VLOOKUP(A27,[1]ALL_DATA_MDA!$A$4:$I$80,8,0)</f>
        <v>43718886.177660517</v>
      </c>
      <c r="K27">
        <f>VLOOKUP(A27,[1]ALL_DATA_MDA!$A$4:$I$80,9,0)</f>
        <v>119914.04789993871</v>
      </c>
      <c r="L27">
        <f t="shared" si="0"/>
        <v>9.4748385119572021</v>
      </c>
      <c r="M27">
        <f t="shared" si="1"/>
        <v>9.4520402841229565</v>
      </c>
      <c r="N27" s="6">
        <f t="shared" si="2"/>
        <v>5.8343731861224398E-3</v>
      </c>
      <c r="O27" s="7">
        <f t="shared" si="9"/>
        <v>5.4337959474353523E-3</v>
      </c>
      <c r="P27" s="6">
        <f t="shared" si="3"/>
        <v>5.5509190826080806E-3</v>
      </c>
      <c r="Q27" s="6">
        <f t="shared" si="10"/>
        <v>5.5078846774129255E-3</v>
      </c>
      <c r="R27">
        <f t="shared" si="4"/>
        <v>17.72828126527795</v>
      </c>
      <c r="S27">
        <f t="shared" si="5"/>
        <v>14.61882695408636</v>
      </c>
      <c r="T27">
        <f t="shared" si="6"/>
        <v>14.668630276421316</v>
      </c>
      <c r="U27">
        <f t="shared" si="7"/>
        <v>11.847293854438423</v>
      </c>
      <c r="V27">
        <f t="shared" si="8"/>
        <v>3.0958871581315028</v>
      </c>
      <c r="W27">
        <f t="shared" si="11"/>
        <v>-0.12490892722164659</v>
      </c>
      <c r="X27">
        <f t="shared" si="12"/>
        <v>0.26931288843166712</v>
      </c>
      <c r="Y27">
        <f t="shared" si="13"/>
        <v>0.7736331366181326</v>
      </c>
      <c r="Z27">
        <f t="shared" si="14"/>
        <v>0.5985082300736102</v>
      </c>
      <c r="AA27">
        <f t="shared" si="16"/>
        <v>-4.6033687524053679E-2</v>
      </c>
      <c r="AB27">
        <f t="shared" si="15"/>
        <v>0.7736331366181326</v>
      </c>
      <c r="AC27">
        <f t="shared" si="17"/>
        <v>6.3490927270169806E-2</v>
      </c>
    </row>
    <row r="28" spans="1:29" x14ac:dyDescent="0.35">
      <c r="A28" s="1">
        <v>46174</v>
      </c>
      <c r="B28" s="2">
        <v>13361.94</v>
      </c>
      <c r="C28" s="2">
        <v>13361.94</v>
      </c>
      <c r="D28" s="5">
        <f>VLOOKUP(A28,[1]ALL_DATA_MDA!$A$2:$E$80,5,0)</f>
        <v>146663.0596976894</v>
      </c>
      <c r="E28" s="5">
        <f>VLOOKUP(A28,[1]ALL_DATA_MDA!$A$2:$E$80,2,0)</f>
        <v>2694381.3974901233</v>
      </c>
      <c r="F28" s="5">
        <f>VLOOKUP(A28,[1]ALL_DATA_MDA!$A$2:$C$80,3,0)</f>
        <v>14.542857142857144</v>
      </c>
      <c r="G28" s="5">
        <f>VLOOKUP(A28,[1]ALL_DATA_MDA!$A$1:$D$80,4,0)</f>
        <v>47773433.795056321</v>
      </c>
      <c r="H28">
        <f>VLOOKUP(A28,[1]ALL_DATA_MDA!$A$4:$I$80,6,0)</f>
        <v>2400867.0332066305</v>
      </c>
      <c r="I28">
        <f>VLOOKUP(A28,[1]ALL_DATA_MDA!$A$4:$I$80,7,0)</f>
        <v>17.42516290726817</v>
      </c>
      <c r="J28">
        <f>VLOOKUP(A28,[1]ALL_DATA_MDA!$A$4:$I$80,8,0)</f>
        <v>47366297.720221877</v>
      </c>
      <c r="K28">
        <f>VLOOKUP(A28,[1]ALL_DATA_MDA!$A$4:$I$80,9,0)</f>
        <v>151128.49266848201</v>
      </c>
      <c r="L28">
        <f t="shared" si="0"/>
        <v>9.5001656461295845</v>
      </c>
      <c r="M28">
        <f t="shared" si="1"/>
        <v>9.4748385119572021</v>
      </c>
      <c r="N28" s="6">
        <f t="shared" si="2"/>
        <v>4.9591865548236592E-3</v>
      </c>
      <c r="O28" s="7">
        <f t="shared" si="9"/>
        <v>5.3967798704730495E-3</v>
      </c>
      <c r="P28" s="6">
        <f t="shared" si="3"/>
        <v>5.5654643989815683E-3</v>
      </c>
      <c r="Q28" s="6">
        <f>AVERAGE(P27:P28)</f>
        <v>5.5581917407948244E-3</v>
      </c>
      <c r="R28">
        <f t="shared" si="4"/>
        <v>17.68198026461355</v>
      </c>
      <c r="S28">
        <f t="shared" si="5"/>
        <v>14.806679198868144</v>
      </c>
      <c r="T28">
        <f t="shared" si="6"/>
        <v>14.691340493914202</v>
      </c>
      <c r="U28">
        <f t="shared" si="7"/>
        <v>11.895893123953623</v>
      </c>
      <c r="V28">
        <f t="shared" si="8"/>
        <v>2.677099955061109</v>
      </c>
      <c r="W28">
        <f t="shared" si="11"/>
        <v>0.18785224478178364</v>
      </c>
      <c r="X28">
        <f t="shared" si="12"/>
        <v>4.859926951520066E-2</v>
      </c>
      <c r="Y28">
        <f t="shared" si="13"/>
        <v>-0.41878720307039385</v>
      </c>
      <c r="Z28">
        <f t="shared" si="14"/>
        <v>0.1753827214555233</v>
      </c>
      <c r="AA28">
        <f t="shared" si="16"/>
        <v>0.7736331366181326</v>
      </c>
      <c r="AB28">
        <f t="shared" si="15"/>
        <v>0</v>
      </c>
      <c r="AC28">
        <f t="shared" si="17"/>
        <v>-0.12490892722164659</v>
      </c>
    </row>
    <row r="29" spans="1:29" x14ac:dyDescent="0.35">
      <c r="A29" s="1">
        <v>46266</v>
      </c>
      <c r="B29" s="4">
        <f>E29*O28</f>
        <v>15380.029304207232</v>
      </c>
      <c r="C29" s="4">
        <f>H29*Q28</f>
        <v>14499.399942524822</v>
      </c>
      <c r="E29">
        <f>VLOOKUP(A29,[1]OI_ACTUAL_PRED_MARCH2028!$A$81:$B$100,2,0)</f>
        <v>2849853</v>
      </c>
      <c r="H29">
        <f>VLOOKUP(A29,[1]OI_ACTUAL_PRED_MARCH2028!$A$82:$C$100,3,0)</f>
        <v>2608654.148453576</v>
      </c>
      <c r="N29" s="6">
        <f t="shared" ref="N29:N35" si="18">B29/E29</f>
        <v>5.3967798704730495E-3</v>
      </c>
      <c r="O29" s="7">
        <v>5.3967798704730495E-3</v>
      </c>
      <c r="P29" s="6">
        <f t="shared" ref="P29:P35" si="19">B29/H29</f>
        <v>5.8957717002557026E-3</v>
      </c>
      <c r="Q29" s="6">
        <v>5.5581917407948244E-3</v>
      </c>
      <c r="R29" t="e">
        <f t="shared" si="4"/>
        <v>#NUM!</v>
      </c>
      <c r="W29">
        <f t="shared" si="11"/>
        <v>-14.806679198868144</v>
      </c>
      <c r="X29">
        <f t="shared" si="12"/>
        <v>-11.895893123953623</v>
      </c>
      <c r="Y29">
        <f t="shared" si="13"/>
        <v>-2.677099955061109</v>
      </c>
      <c r="Z29">
        <f t="shared" si="14"/>
        <v>7.1668641693881918</v>
      </c>
      <c r="AA29">
        <f t="shared" si="16"/>
        <v>-0.41878720307039385</v>
      </c>
      <c r="AB29">
        <f t="shared" si="15"/>
        <v>0</v>
      </c>
      <c r="AC29">
        <f t="shared" si="17"/>
        <v>0.18785224478178364</v>
      </c>
    </row>
    <row r="30" spans="1:29" x14ac:dyDescent="0.35">
      <c r="A30" s="1">
        <v>46357</v>
      </c>
      <c r="B30" s="4">
        <f t="shared" ref="B30:B35" si="20">E30*O29</f>
        <v>15719.022634991126</v>
      </c>
      <c r="C30" s="4">
        <f t="shared" ref="C30:C35" si="21">H30*Q29</f>
        <v>15017.469455986924</v>
      </c>
      <c r="E30">
        <f>VLOOKUP(A30,[1]OI_ACTUAL_PRED_MARCH2028!$A$81:$B$100,2,0)</f>
        <v>2912667</v>
      </c>
      <c r="H30">
        <f>VLOOKUP(A30,[1]OI_ACTUAL_PRED_MARCH2028!$A$82:$C$100,3,0)</f>
        <v>2701862.4323023837</v>
      </c>
      <c r="N30" s="6">
        <f t="shared" si="18"/>
        <v>5.3967798704730495E-3</v>
      </c>
      <c r="O30" s="7">
        <v>5.3967798704730495E-3</v>
      </c>
      <c r="P30" s="6">
        <f t="shared" si="19"/>
        <v>5.8178471439036998E-3</v>
      </c>
      <c r="Q30" s="6">
        <v>5.5581917407948244E-3</v>
      </c>
      <c r="R30" t="e">
        <f t="shared" si="4"/>
        <v>#NUM!</v>
      </c>
      <c r="W30">
        <f t="shared" si="11"/>
        <v>0</v>
      </c>
      <c r="X30">
        <f t="shared" si="12"/>
        <v>0</v>
      </c>
      <c r="Y30">
        <f t="shared" si="13"/>
        <v>0</v>
      </c>
      <c r="Z30">
        <f t="shared" si="14"/>
        <v>0</v>
      </c>
      <c r="AA30">
        <f t="shared" si="16"/>
        <v>-2.677099955061109</v>
      </c>
      <c r="AB30">
        <f t="shared" si="15"/>
        <v>0</v>
      </c>
      <c r="AC30">
        <f t="shared" si="17"/>
        <v>-14.806679198868144</v>
      </c>
    </row>
    <row r="31" spans="1:29" x14ac:dyDescent="0.35">
      <c r="A31" s="1">
        <v>46447</v>
      </c>
      <c r="B31" s="4">
        <f t="shared" si="20"/>
        <v>16191.791345204307</v>
      </c>
      <c r="C31" s="4">
        <f t="shared" si="21"/>
        <v>15393.44578784843</v>
      </c>
      <c r="E31">
        <f>VLOOKUP(A31,[1]OI_ACTUAL_PRED_MARCH2028!$A$81:$B$100,2,0)</f>
        <v>3000269</v>
      </c>
      <c r="H31">
        <f>VLOOKUP(A31,[1]OI_ACTUAL_PRED_MARCH2028!$A$82:$C$100,3,0)</f>
        <v>2769506.0742267878</v>
      </c>
      <c r="N31" s="6">
        <f t="shared" si="18"/>
        <v>5.3967798704730495E-3</v>
      </c>
      <c r="O31" s="7">
        <v>5.3967798704730495E-3</v>
      </c>
      <c r="P31" s="6">
        <f t="shared" si="19"/>
        <v>5.8464545342168479E-3</v>
      </c>
      <c r="Q31" s="6">
        <v>5.5581917407948244E-3</v>
      </c>
      <c r="R31" t="e">
        <f t="shared" si="4"/>
        <v>#NUM!</v>
      </c>
      <c r="W31">
        <f t="shared" si="11"/>
        <v>0</v>
      </c>
      <c r="X31">
        <f t="shared" si="12"/>
        <v>0</v>
      </c>
      <c r="Y31">
        <f t="shared" si="13"/>
        <v>0</v>
      </c>
      <c r="Z31">
        <f t="shared" si="14"/>
        <v>0</v>
      </c>
      <c r="AA31">
        <f t="shared" si="16"/>
        <v>0</v>
      </c>
      <c r="AB31">
        <f t="shared" si="15"/>
        <v>0</v>
      </c>
      <c r="AC31">
        <f t="shared" si="17"/>
        <v>0</v>
      </c>
    </row>
    <row r="32" spans="1:29" x14ac:dyDescent="0.35">
      <c r="A32" s="1">
        <v>46539</v>
      </c>
      <c r="B32" s="4">
        <f t="shared" si="20"/>
        <v>16610.845905366667</v>
      </c>
      <c r="C32" s="4">
        <f t="shared" si="21"/>
        <v>16960.923997217324</v>
      </c>
      <c r="E32">
        <f>VLOOKUP(A32,[1]OI_ACTUAL_PRED_MARCH2028!$A$81:$B$100,2,0)</f>
        <v>3077918</v>
      </c>
      <c r="H32">
        <f>VLOOKUP(A32,[1]OI_ACTUAL_PRED_MARCH2028!$A$82:$C$100,3,0)</f>
        <v>3051518.3333333335</v>
      </c>
      <c r="N32" s="6">
        <f t="shared" si="18"/>
        <v>5.3967798704730495E-3</v>
      </c>
      <c r="O32" s="7">
        <v>5.3967798704730495E-3</v>
      </c>
      <c r="P32" s="6">
        <f t="shared" si="19"/>
        <v>5.4434691490847995E-3</v>
      </c>
      <c r="Q32" s="6">
        <v>5.5581917407948244E-3</v>
      </c>
      <c r="R32" t="e">
        <f t="shared" si="4"/>
        <v>#NUM!</v>
      </c>
      <c r="W32">
        <f t="shared" si="11"/>
        <v>0</v>
      </c>
      <c r="X32">
        <f t="shared" si="12"/>
        <v>0</v>
      </c>
      <c r="Y32">
        <f t="shared" si="13"/>
        <v>0</v>
      </c>
      <c r="Z32">
        <f t="shared" si="14"/>
        <v>0</v>
      </c>
      <c r="AA32">
        <f t="shared" si="16"/>
        <v>0</v>
      </c>
      <c r="AB32">
        <f t="shared" si="15"/>
        <v>0</v>
      </c>
      <c r="AC32">
        <f t="shared" si="17"/>
        <v>0</v>
      </c>
    </row>
    <row r="33" spans="1:29" x14ac:dyDescent="0.35">
      <c r="A33" s="1">
        <v>46631</v>
      </c>
      <c r="B33" s="4">
        <f t="shared" si="20"/>
        <v>17049.523157138068</v>
      </c>
      <c r="C33" s="4">
        <f t="shared" si="21"/>
        <v>17185.504587234715</v>
      </c>
      <c r="E33">
        <f>VLOOKUP(A33,[1]OI_ACTUAL_PRED_MARCH2028!$A$81:$B$100,2,0)</f>
        <v>3159203</v>
      </c>
      <c r="H33">
        <f>VLOOKUP(A33,[1]OI_ACTUAL_PRED_MARCH2028!$A$82:$C$100,3,0)</f>
        <v>3091923.6666666665</v>
      </c>
      <c r="N33" s="6">
        <f t="shared" si="18"/>
        <v>5.3967798704730495E-3</v>
      </c>
      <c r="O33" s="7">
        <v>5.3967798704730495E-3</v>
      </c>
      <c r="P33" s="6">
        <f t="shared" si="19"/>
        <v>5.5142121847784088E-3</v>
      </c>
      <c r="Q33" s="6">
        <v>5.5581917407948244E-3</v>
      </c>
      <c r="R33" t="e">
        <f t="shared" si="4"/>
        <v>#NUM!</v>
      </c>
      <c r="W33">
        <f t="shared" si="11"/>
        <v>0</v>
      </c>
      <c r="X33">
        <f t="shared" si="12"/>
        <v>0</v>
      </c>
      <c r="Y33">
        <f t="shared" si="13"/>
        <v>0</v>
      </c>
      <c r="Z33">
        <f t="shared" si="14"/>
        <v>0</v>
      </c>
      <c r="AA33">
        <f t="shared" si="16"/>
        <v>0</v>
      </c>
      <c r="AB33">
        <f t="shared" si="15"/>
        <v>0</v>
      </c>
      <c r="AC33">
        <f t="shared" si="17"/>
        <v>0</v>
      </c>
    </row>
    <row r="34" spans="1:29" x14ac:dyDescent="0.35">
      <c r="A34" s="1">
        <v>46722</v>
      </c>
      <c r="B34" s="4">
        <f t="shared" si="20"/>
        <v>17479.150009066689</v>
      </c>
      <c r="C34" s="4">
        <f t="shared" si="21"/>
        <v>17408.357814774445</v>
      </c>
      <c r="E34">
        <f>VLOOKUP(A34,[1]OI_ACTUAL_PRED_MARCH2028!$A$81:$B$100,2,0)</f>
        <v>3238811</v>
      </c>
      <c r="H34">
        <f>VLOOKUP(A34,[1]OI_ACTUAL_PRED_MARCH2028!$A$82:$C$100,3,0)</f>
        <v>3132018.222222222</v>
      </c>
      <c r="N34" s="6">
        <f t="shared" si="18"/>
        <v>5.3967798704730495E-3</v>
      </c>
      <c r="O34" s="7">
        <v>5.3967798704730495E-3</v>
      </c>
      <c r="P34" s="6">
        <f t="shared" si="19"/>
        <v>5.5807944810311238E-3</v>
      </c>
      <c r="Q34" s="6">
        <v>5.5581917407948244E-3</v>
      </c>
      <c r="R34" t="e">
        <f t="shared" si="4"/>
        <v>#NUM!</v>
      </c>
      <c r="W34">
        <f t="shared" si="11"/>
        <v>0</v>
      </c>
      <c r="X34">
        <f t="shared" si="12"/>
        <v>0</v>
      </c>
      <c r="Y34">
        <f t="shared" si="13"/>
        <v>0</v>
      </c>
      <c r="Z34">
        <f t="shared" si="14"/>
        <v>0</v>
      </c>
      <c r="AA34">
        <f t="shared" si="16"/>
        <v>0</v>
      </c>
      <c r="AB34">
        <f t="shared" si="15"/>
        <v>0</v>
      </c>
      <c r="AC34">
        <f t="shared" si="17"/>
        <v>0</v>
      </c>
    </row>
    <row r="35" spans="1:29" x14ac:dyDescent="0.35">
      <c r="A35" s="1">
        <v>46813</v>
      </c>
      <c r="B35" s="4">
        <f t="shared" si="20"/>
        <v>17910.935572943497</v>
      </c>
      <c r="C35" s="4">
        <f t="shared" si="21"/>
        <v>17630.930662419694</v>
      </c>
      <c r="E35">
        <f>VLOOKUP(A35,[1]OI_ACTUAL_PRED_MARCH2028!$A$81:$B$100,2,0)</f>
        <v>3318819</v>
      </c>
      <c r="H35">
        <f>VLOOKUP(A35,[1]OI_ACTUAL_PRED_MARCH2028!$A$82:$C$100,3,0)</f>
        <v>3172062.3333333335</v>
      </c>
      <c r="N35" s="6">
        <f t="shared" si="18"/>
        <v>5.3967798704730504E-3</v>
      </c>
      <c r="O35" s="7">
        <v>5.3967798704730495E-3</v>
      </c>
      <c r="P35" s="6">
        <f t="shared" si="19"/>
        <v>5.6464639375866082E-3</v>
      </c>
      <c r="Q35" s="6">
        <v>5.5581917407948244E-3</v>
      </c>
      <c r="R35" t="e">
        <f t="shared" si="4"/>
        <v>#NUM!</v>
      </c>
      <c r="W35">
        <f t="shared" si="11"/>
        <v>0</v>
      </c>
      <c r="X35">
        <f t="shared" si="12"/>
        <v>0</v>
      </c>
      <c r="Y35">
        <f t="shared" si="13"/>
        <v>0</v>
      </c>
      <c r="Z35">
        <f t="shared" si="14"/>
        <v>0</v>
      </c>
      <c r="AA35">
        <f t="shared" si="16"/>
        <v>0</v>
      </c>
      <c r="AB35">
        <f t="shared" si="15"/>
        <v>0</v>
      </c>
      <c r="AC35">
        <f t="shared" si="17"/>
        <v>0</v>
      </c>
    </row>
    <row r="36" spans="1:29" x14ac:dyDescent="0.35">
      <c r="A36" s="1"/>
    </row>
    <row r="37" spans="1:29" x14ac:dyDescent="0.35">
      <c r="A37" s="1"/>
    </row>
    <row r="38" spans="1:29" x14ac:dyDescent="0.35">
      <c r="A38" s="1"/>
    </row>
    <row r="39" spans="1:29" x14ac:dyDescent="0.35">
      <c r="A39" s="1"/>
    </row>
    <row r="40" spans="1:29" x14ac:dyDescent="0.35">
      <c r="A40" s="1"/>
    </row>
    <row r="41" spans="1:29" x14ac:dyDescent="0.35">
      <c r="A41" s="1"/>
    </row>
    <row r="42" spans="1:29" x14ac:dyDescent="0.35">
      <c r="A4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1F9A-9C94-4C07-9254-F1B54C10CFB5}">
  <dimension ref="A1:G9"/>
  <sheetViews>
    <sheetView workbookViewId="0">
      <selection activeCell="E11" sqref="E11"/>
    </sheetView>
  </sheetViews>
  <sheetFormatPr defaultRowHeight="14.5" x14ac:dyDescent="0.35"/>
  <cols>
    <col min="3" max="3" width="38" bestFit="1" customWidth="1"/>
    <col min="6" max="6" width="36.7265625" bestFit="1" customWidth="1"/>
  </cols>
  <sheetData>
    <row r="1" spans="1:7" x14ac:dyDescent="0.35">
      <c r="A1" t="s">
        <v>37</v>
      </c>
      <c r="B1" t="s">
        <v>38</v>
      </c>
      <c r="C1" t="s">
        <v>39</v>
      </c>
      <c r="D1" t="s">
        <v>35</v>
      </c>
      <c r="E1" t="s">
        <v>6</v>
      </c>
      <c r="F1" t="s">
        <v>40</v>
      </c>
      <c r="G1" t="s">
        <v>36</v>
      </c>
    </row>
    <row r="2" spans="1:7" x14ac:dyDescent="0.35">
      <c r="A2" s="1">
        <v>46174</v>
      </c>
      <c r="C2">
        <v>5.3967798704730495E-3</v>
      </c>
      <c r="F2">
        <v>5.5581917407948244E-3</v>
      </c>
    </row>
    <row r="3" spans="1:7" x14ac:dyDescent="0.35">
      <c r="A3" s="1">
        <v>46266</v>
      </c>
      <c r="B3">
        <v>2849853</v>
      </c>
      <c r="C3">
        <v>5.3967798704730495E-3</v>
      </c>
      <c r="D3" s="5">
        <f>B3*C3</f>
        <v>15380.029304207232</v>
      </c>
      <c r="E3">
        <v>2608654.148453576</v>
      </c>
      <c r="F3">
        <v>5.5581917407948244E-3</v>
      </c>
      <c r="G3" s="5">
        <f>E3*F3</f>
        <v>14499.399942524822</v>
      </c>
    </row>
    <row r="4" spans="1:7" x14ac:dyDescent="0.35">
      <c r="A4" s="1">
        <v>46357</v>
      </c>
      <c r="B4">
        <v>2912667</v>
      </c>
      <c r="C4">
        <v>5.3967798704730495E-3</v>
      </c>
      <c r="D4" s="5">
        <f t="shared" ref="D4:D9" si="0">B4*C4</f>
        <v>15719.022634991126</v>
      </c>
      <c r="E4">
        <v>2701862.4323023837</v>
      </c>
      <c r="F4">
        <v>5.5581917407948244E-3</v>
      </c>
      <c r="G4" s="5">
        <f t="shared" ref="G4:G9" si="1">E4*F4</f>
        <v>15017.469455986924</v>
      </c>
    </row>
    <row r="5" spans="1:7" x14ac:dyDescent="0.35">
      <c r="A5" s="1">
        <v>46447</v>
      </c>
      <c r="B5">
        <v>3000269</v>
      </c>
      <c r="C5">
        <v>5.3967798704730495E-3</v>
      </c>
      <c r="D5" s="5">
        <f t="shared" si="0"/>
        <v>16191.791345204307</v>
      </c>
      <c r="E5">
        <v>2769506.0742267878</v>
      </c>
      <c r="F5">
        <v>5.5581917407948244E-3</v>
      </c>
      <c r="G5" s="5">
        <f t="shared" si="1"/>
        <v>15393.44578784843</v>
      </c>
    </row>
    <row r="6" spans="1:7" x14ac:dyDescent="0.35">
      <c r="A6" s="1">
        <v>46539</v>
      </c>
      <c r="B6">
        <v>3077918</v>
      </c>
      <c r="C6">
        <v>5.3967798704730495E-3</v>
      </c>
      <c r="D6" s="5">
        <f t="shared" si="0"/>
        <v>16610.845905366667</v>
      </c>
      <c r="E6">
        <v>3051518.3333333335</v>
      </c>
      <c r="F6">
        <v>5.5581917407948244E-3</v>
      </c>
      <c r="G6" s="5">
        <f t="shared" si="1"/>
        <v>16960.923997217324</v>
      </c>
    </row>
    <row r="7" spans="1:7" x14ac:dyDescent="0.35">
      <c r="A7" s="1">
        <v>46631</v>
      </c>
      <c r="B7">
        <v>3159203</v>
      </c>
      <c r="C7">
        <v>5.3967798704730495E-3</v>
      </c>
      <c r="D7" s="5">
        <f t="shared" si="0"/>
        <v>17049.523157138068</v>
      </c>
      <c r="E7">
        <v>3091923.6666666665</v>
      </c>
      <c r="F7">
        <v>5.5581917407948244E-3</v>
      </c>
      <c r="G7" s="5">
        <f t="shared" si="1"/>
        <v>17185.504587234715</v>
      </c>
    </row>
    <row r="8" spans="1:7" x14ac:dyDescent="0.35">
      <c r="A8" s="1">
        <v>46722</v>
      </c>
      <c r="B8">
        <v>3238811</v>
      </c>
      <c r="C8">
        <v>5.3967798704730495E-3</v>
      </c>
      <c r="D8" s="5">
        <f t="shared" si="0"/>
        <v>17479.150009066689</v>
      </c>
      <c r="E8">
        <v>3132018.222222222</v>
      </c>
      <c r="F8">
        <v>5.5581917407948244E-3</v>
      </c>
      <c r="G8" s="5">
        <f t="shared" si="1"/>
        <v>17408.357814774445</v>
      </c>
    </row>
    <row r="9" spans="1:7" x14ac:dyDescent="0.35">
      <c r="A9" s="1">
        <v>46813</v>
      </c>
      <c r="B9">
        <v>3318819</v>
      </c>
      <c r="C9">
        <v>5.3967798704730495E-3</v>
      </c>
      <c r="D9" s="5">
        <f t="shared" si="0"/>
        <v>17910.935572943497</v>
      </c>
      <c r="E9">
        <v>3172062.3333333335</v>
      </c>
      <c r="F9">
        <v>5.5581917407948244E-3</v>
      </c>
      <c r="G9" s="5">
        <f t="shared" si="1"/>
        <v>17630.930662419694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5514-655F-4DFE-A897-6E4F4D0743D0}">
  <dimension ref="A1:D42"/>
  <sheetViews>
    <sheetView topLeftCell="A24" workbookViewId="0">
      <selection activeCell="E1" sqref="E1"/>
    </sheetView>
  </sheetViews>
  <sheetFormatPr defaultRowHeight="14.5" x14ac:dyDescent="0.35"/>
  <sheetData>
    <row r="1" spans="1:4" x14ac:dyDescent="0.35">
      <c r="A1" t="s">
        <v>0</v>
      </c>
      <c r="B1" s="2" t="s">
        <v>1</v>
      </c>
      <c r="C1" t="s">
        <v>3</v>
      </c>
      <c r="D1" t="s">
        <v>6</v>
      </c>
    </row>
    <row r="2" spans="1:4" x14ac:dyDescent="0.35">
      <c r="A2" s="1">
        <v>43800</v>
      </c>
      <c r="B2" s="5">
        <v>3060.44</v>
      </c>
    </row>
    <row r="3" spans="1:4" x14ac:dyDescent="0.35">
      <c r="A3" s="1">
        <v>43891</v>
      </c>
      <c r="B3" s="2">
        <v>3149.13</v>
      </c>
    </row>
    <row r="4" spans="1:4" x14ac:dyDescent="0.35">
      <c r="A4" s="1">
        <v>43983</v>
      </c>
      <c r="B4" s="3">
        <v>3266.26</v>
      </c>
    </row>
    <row r="5" spans="1:4" x14ac:dyDescent="0.35">
      <c r="A5" s="1">
        <v>44075</v>
      </c>
      <c r="B5" s="2">
        <v>3380.31</v>
      </c>
    </row>
    <row r="6" spans="1:4" x14ac:dyDescent="0.35">
      <c r="A6" s="1">
        <v>44166</v>
      </c>
      <c r="B6" s="3">
        <v>3470.54</v>
      </c>
    </row>
    <row r="7" spans="1:4" x14ac:dyDescent="0.35">
      <c r="A7" s="1">
        <v>44256</v>
      </c>
      <c r="B7" s="2">
        <v>3528.3</v>
      </c>
    </row>
    <row r="8" spans="1:4" x14ac:dyDescent="0.35">
      <c r="A8" s="1">
        <v>44348</v>
      </c>
      <c r="B8" s="2">
        <v>3630.67</v>
      </c>
    </row>
    <row r="9" spans="1:4" x14ac:dyDescent="0.35">
      <c r="A9" s="1">
        <v>44440</v>
      </c>
      <c r="B9" s="2">
        <v>3725.83</v>
      </c>
    </row>
    <row r="10" spans="1:4" x14ac:dyDescent="0.35">
      <c r="A10" s="1">
        <v>44531</v>
      </c>
      <c r="B10" s="2">
        <v>3856.72</v>
      </c>
    </row>
    <row r="11" spans="1:4" x14ac:dyDescent="0.35">
      <c r="A11" s="1">
        <v>44621</v>
      </c>
      <c r="B11" s="2">
        <v>3971.25</v>
      </c>
    </row>
    <row r="12" spans="1:4" x14ac:dyDescent="0.35">
      <c r="A12" s="1">
        <v>44713</v>
      </c>
      <c r="B12" s="2">
        <v>4099.26</v>
      </c>
    </row>
    <row r="13" spans="1:4" x14ac:dyDescent="0.35">
      <c r="A13" s="1">
        <v>44805</v>
      </c>
      <c r="B13" s="2">
        <v>4245.78</v>
      </c>
    </row>
    <row r="14" spans="1:4" x14ac:dyDescent="0.35">
      <c r="A14" s="1">
        <v>44896</v>
      </c>
      <c r="B14" s="2">
        <v>5197.37</v>
      </c>
    </row>
    <row r="15" spans="1:4" x14ac:dyDescent="0.35">
      <c r="A15" s="1">
        <v>44986</v>
      </c>
      <c r="B15" s="2">
        <v>4797.2299999999996</v>
      </c>
    </row>
    <row r="16" spans="1:4" x14ac:dyDescent="0.35">
      <c r="A16" s="1">
        <v>45078</v>
      </c>
      <c r="B16" s="2">
        <v>5197.37</v>
      </c>
    </row>
    <row r="17" spans="1:2" x14ac:dyDescent="0.35">
      <c r="A17" s="1">
        <v>45170</v>
      </c>
      <c r="B17" s="2">
        <v>5941.18</v>
      </c>
    </row>
    <row r="18" spans="1:2" x14ac:dyDescent="0.35">
      <c r="A18" s="1">
        <v>45261</v>
      </c>
      <c r="B18" s="2">
        <v>6636.76</v>
      </c>
    </row>
    <row r="19" spans="1:2" x14ac:dyDescent="0.35">
      <c r="A19" s="1">
        <v>45352</v>
      </c>
      <c r="B19" s="2">
        <v>8818.99</v>
      </c>
    </row>
    <row r="20" spans="1:2" x14ac:dyDescent="0.35">
      <c r="A20" s="1">
        <v>45444</v>
      </c>
      <c r="B20" s="2">
        <v>9130.2800000000007</v>
      </c>
    </row>
    <row r="21" spans="1:2" x14ac:dyDescent="0.35">
      <c r="A21" s="1">
        <v>45536</v>
      </c>
      <c r="B21" s="2">
        <v>9428.5499999999993</v>
      </c>
    </row>
    <row r="22" spans="1:2" x14ac:dyDescent="0.35">
      <c r="A22" s="1">
        <v>45627</v>
      </c>
      <c r="B22" s="2">
        <v>11673.78</v>
      </c>
    </row>
    <row r="23" spans="1:2" x14ac:dyDescent="0.35">
      <c r="A23" s="1">
        <v>45717</v>
      </c>
      <c r="B23" s="2">
        <v>11978.58</v>
      </c>
    </row>
    <row r="24" spans="1:2" x14ac:dyDescent="0.35">
      <c r="A24" s="1">
        <v>45809</v>
      </c>
      <c r="B24" s="2">
        <v>12226.74</v>
      </c>
    </row>
    <row r="25" spans="1:2" x14ac:dyDescent="0.35">
      <c r="A25" s="1">
        <v>45901</v>
      </c>
      <c r="B25" s="2">
        <v>12487.43</v>
      </c>
    </row>
    <row r="26" spans="1:2" x14ac:dyDescent="0.35">
      <c r="A26" s="1">
        <v>45992</v>
      </c>
      <c r="B26" s="2">
        <v>12734.12</v>
      </c>
    </row>
    <row r="27" spans="1:2" x14ac:dyDescent="0.35">
      <c r="A27" s="1">
        <v>46082</v>
      </c>
      <c r="B27" s="2">
        <v>13027.77</v>
      </c>
    </row>
    <row r="28" spans="1:2" x14ac:dyDescent="0.35">
      <c r="A28" s="1">
        <v>46174</v>
      </c>
      <c r="B28" s="2">
        <v>13361.94</v>
      </c>
    </row>
    <row r="29" spans="1:2" x14ac:dyDescent="0.35">
      <c r="A29" s="1">
        <v>46266</v>
      </c>
      <c r="B29" s="4">
        <v>14504.117065401882</v>
      </c>
    </row>
    <row r="30" spans="1:2" x14ac:dyDescent="0.35">
      <c r="A30" s="1">
        <v>46357</v>
      </c>
      <c r="B30" s="4">
        <v>15022.355741379033</v>
      </c>
    </row>
    <row r="31" spans="1:2" x14ac:dyDescent="0.35">
      <c r="A31" s="1">
        <v>46447</v>
      </c>
      <c r="B31" s="4">
        <v>15398.454699367609</v>
      </c>
    </row>
    <row r="32" spans="1:2" x14ac:dyDescent="0.35">
      <c r="A32" s="1">
        <v>46539</v>
      </c>
      <c r="B32" s="4">
        <v>16966.445639999998</v>
      </c>
    </row>
    <row r="33" spans="1:2" x14ac:dyDescent="0.35">
      <c r="A33" s="1">
        <v>46631</v>
      </c>
      <c r="B33" s="4">
        <v>17191.099293333333</v>
      </c>
    </row>
    <row r="34" spans="1:2" x14ac:dyDescent="0.35">
      <c r="A34" s="1">
        <v>46722</v>
      </c>
      <c r="B34" s="4">
        <v>17414.025022222224</v>
      </c>
    </row>
    <row r="35" spans="1:2" x14ac:dyDescent="0.35">
      <c r="A35" s="1">
        <v>46813</v>
      </c>
      <c r="B35" s="4">
        <v>17636.670743333332</v>
      </c>
    </row>
    <row r="36" spans="1:2" x14ac:dyDescent="0.35">
      <c r="A36" s="1"/>
    </row>
    <row r="37" spans="1:2" x14ac:dyDescent="0.35">
      <c r="A37" s="1"/>
    </row>
    <row r="38" spans="1:2" x14ac:dyDescent="0.35">
      <c r="A38" s="1"/>
    </row>
    <row r="39" spans="1:2" x14ac:dyDescent="0.35">
      <c r="A39" s="1"/>
    </row>
    <row r="40" spans="1:2" x14ac:dyDescent="0.35">
      <c r="A40" s="1"/>
    </row>
    <row r="41" spans="1:2" x14ac:dyDescent="0.35">
      <c r="A41" s="1"/>
    </row>
    <row r="42" spans="1:2" x14ac:dyDescent="0.35">
      <c r="A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SUMMARY_STAT_K_AVG2Q</vt:lpstr>
      <vt:lpstr>SUMMARY_STAT_k</vt:lpstr>
      <vt:lpstr>ACTUAL_Jun2026_QTRLY</vt:lpstr>
      <vt:lpstr>SGF_K_RATIO_OI_YTDOI</vt:lpstr>
      <vt:lpstr>SGF1_SGF2</vt:lpstr>
      <vt:lpstr>PREDICTED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2026-09-03T16:42:41Z</dcterms:created>
  <dcterms:modified xsi:type="dcterms:W3CDTF">2026-09-14T06:17:02Z</dcterms:modified>
</cp:coreProperties>
</file>