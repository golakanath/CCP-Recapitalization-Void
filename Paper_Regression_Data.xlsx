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per_Regression_Dat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<sst xmlns="http://schemas.openxmlformats.org/spreadsheetml/2006/main" count="20" uniqueCount="20">
  <si>
    <t xml:space="preserve">MONTHYR</t>
  </si>
  <si>
    <t xml:space="preserve">SGF</t>
  </si>
  <si>
    <t xml:space="preserve">CM</t>
  </si>
  <si>
    <t xml:space="preserve">OI</t>
  </si>
  <si>
    <t xml:space="preserve">VIX</t>
  </si>
  <si>
    <t xml:space="preserve">FO</t>
  </si>
  <si>
    <t xml:space="preserve">YTDOI</t>
  </si>
  <si>
    <t xml:space="preserve">YTDVIX</t>
  </si>
  <si>
    <t xml:space="preserve">YTDFO</t>
  </si>
  <si>
    <t xml:space="preserve">YTDCM</t>
  </si>
  <si>
    <t xml:space="preserve">LSGF</t>
  </si>
  <si>
    <t xml:space="preserve">LAGLSGF</t>
  </si>
  <si>
    <t xml:space="preserve">k</t>
  </si>
  <si>
    <t xml:space="preserve">K_Pred</t>
  </si>
  <si>
    <t xml:space="preserve">K_Pred_YTD</t>
  </si>
  <si>
    <t xml:space="preserve">K_Pred1</t>
  </si>
  <si>
    <t xml:space="preserve">LOI</t>
  </si>
  <si>
    <t xml:space="preserve">LYTDOI</t>
  </si>
  <si>
    <t xml:space="preserve">LCM</t>
  </si>
  <si>
    <t xml:space="preserve">LVIX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</si>
</sst>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yy"/>
  </numFmts>
  <fonts count="4">
    <font>
      <sz val="11"/>
      <color rgb="FF000000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5" zeroHeight="false" outlineLevelRow="0" outlineLevelCol="0"/>
  <cols>
    <col collapsed="false" customWidth="true" hidden="false" outlineLevel="0" max="1" min="1" style="0" width="10.09"/>
  </cols>
  <sheetData>
    <row r="1" customFormat="false" ht="14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</row>
    <row r="2" customFormat="false" ht="14.5" hidden="false" customHeight="false" outlineLevel="0" collapsed="false">
      <c r="A2" s="1" t="n">
        <v>43477</v>
      </c>
      <c r="B2" s="0" t="n">
        <v>3060.44</v>
      </c>
    </row>
    <row r="3" customFormat="false" ht="14.5" hidden="false" customHeight="false" outlineLevel="0" collapsed="false">
      <c r="A3" s="1" t="n">
        <v>43833</v>
      </c>
      <c r="B3" s="0" t="n">
        <v>3149.13</v>
      </c>
      <c r="C3" s="0" t="n">
        <v>54055.465788</v>
      </c>
      <c r="D3" s="0" t="n">
        <v>253346.42921</v>
      </c>
      <c r="E3" s="0" t="n">
        <v>53.063571429</v>
      </c>
      <c r="F3" s="0" t="n">
        <v>1146922.9819</v>
      </c>
      <c r="G3" s="0" t="n">
        <v>332914.38077</v>
      </c>
      <c r="H3" s="0" t="n">
        <v>27.788757505</v>
      </c>
      <c r="I3" s="0" t="n">
        <v>1516939.9299</v>
      </c>
      <c r="J3" s="0" t="n">
        <v>46042.028787</v>
      </c>
      <c r="K3" s="0" t="n">
        <v>8.0548815032</v>
      </c>
      <c r="L3" s="0" t="n">
        <f aca="false">+LN(B2)</f>
        <v>8.02631397545919</v>
      </c>
      <c r="M3" s="0" t="n">
        <v>0.0124301337</v>
      </c>
      <c r="O3" s="0" t="n">
        <v>0.009459279</v>
      </c>
      <c r="Q3" s="0" t="n">
        <v>12.442513116</v>
      </c>
      <c r="R3" s="0" t="n">
        <v>12.715640621</v>
      </c>
      <c r="S3" s="0" t="n">
        <v>10.897765943</v>
      </c>
      <c r="T3" s="0" t="n">
        <v>3.9714906557</v>
      </c>
    </row>
    <row r="4" customFormat="false" ht="14.5" hidden="false" customHeight="false" outlineLevel="0" collapsed="false">
      <c r="A4" s="1" t="n">
        <v>43836</v>
      </c>
      <c r="B4" s="0" t="n">
        <v>3266.26</v>
      </c>
      <c r="C4" s="0" t="n">
        <v>68303.041348</v>
      </c>
      <c r="D4" s="0" t="n">
        <v>301287.16547</v>
      </c>
      <c r="E4" s="0" t="n">
        <v>30.237613636</v>
      </c>
      <c r="F4" s="0" t="n">
        <v>1659105.3032</v>
      </c>
      <c r="G4" s="0" t="n">
        <v>243546.15528</v>
      </c>
      <c r="H4" s="0" t="n">
        <v>37.407822967</v>
      </c>
      <c r="I4" s="0" t="n">
        <v>1367764.6217</v>
      </c>
      <c r="J4" s="0" t="n">
        <v>60376.500316</v>
      </c>
      <c r="K4" s="0" t="n">
        <v>8.0914008784</v>
      </c>
      <c r="L4" s="0" t="n">
        <f aca="false">+LN(B3)</f>
        <v>8.05488150319587</v>
      </c>
      <c r="M4" s="0" t="n">
        <v>0.0108410194</v>
      </c>
      <c r="N4" s="0" t="n">
        <v>0.0116355766</v>
      </c>
      <c r="O4" s="0" t="n">
        <v>0.0134112567</v>
      </c>
      <c r="P4" s="0" t="n">
        <v>0.0114352678</v>
      </c>
      <c r="Q4" s="0" t="n">
        <v>12.615819127</v>
      </c>
      <c r="R4" s="0" t="n">
        <v>12.403061753</v>
      </c>
      <c r="S4" s="0" t="n">
        <v>11.131709574</v>
      </c>
      <c r="T4" s="0" t="n">
        <v>3.4090866341</v>
      </c>
    </row>
    <row r="5" customFormat="false" ht="14.5" hidden="false" customHeight="false" outlineLevel="0" collapsed="false">
      <c r="A5" s="1" t="n">
        <v>43839</v>
      </c>
      <c r="B5" s="0" t="n">
        <v>3380.31</v>
      </c>
      <c r="C5" s="0" t="n">
        <v>61206.861546</v>
      </c>
      <c r="D5" s="0" t="n">
        <v>384403.17819</v>
      </c>
      <c r="E5" s="0" t="n">
        <v>21.078977273</v>
      </c>
      <c r="F5" s="0" t="n">
        <v>2256927.5546</v>
      </c>
      <c r="G5" s="0" t="n">
        <v>308444.50513</v>
      </c>
      <c r="H5" s="0" t="n">
        <v>29.949584714</v>
      </c>
      <c r="I5" s="0" t="n">
        <v>1707311.7601</v>
      </c>
      <c r="J5" s="0" t="n">
        <v>62701.078441</v>
      </c>
      <c r="K5" s="0" t="n">
        <v>8.1257227002</v>
      </c>
      <c r="L5" s="0" t="n">
        <f aca="false">+LN(B4)</f>
        <v>8.09140087844514</v>
      </c>
      <c r="M5" s="0" t="n">
        <v>0.0087936578</v>
      </c>
      <c r="N5" s="0" t="n">
        <v>0.0098173386</v>
      </c>
      <c r="O5" s="0" t="n">
        <v>0.0109592161</v>
      </c>
      <c r="P5" s="0" t="n">
        <v>0.0121852364</v>
      </c>
      <c r="Q5" s="0" t="n">
        <v>12.859447224</v>
      </c>
      <c r="R5" s="0" t="n">
        <v>12.63929722</v>
      </c>
      <c r="S5" s="0" t="n">
        <v>11.022014579</v>
      </c>
      <c r="T5" s="0" t="n">
        <v>3.048276206</v>
      </c>
    </row>
    <row r="6" customFormat="false" ht="14.5" hidden="false" customHeight="false" outlineLevel="0" collapsed="false">
      <c r="A6" s="1" t="n">
        <v>43842</v>
      </c>
      <c r="B6" s="0" t="n">
        <v>3470.54</v>
      </c>
      <c r="C6" s="0" t="n">
        <v>70513.135367</v>
      </c>
      <c r="D6" s="0" t="n">
        <v>518439.09354</v>
      </c>
      <c r="E6" s="0" t="n">
        <v>19.771363636</v>
      </c>
      <c r="F6" s="0" t="n">
        <v>3283623.5367</v>
      </c>
      <c r="G6" s="0" t="n">
        <v>360280.2963</v>
      </c>
      <c r="H6" s="0" t="n">
        <v>26.895819102</v>
      </c>
      <c r="I6" s="0" t="n">
        <v>2170087.0369</v>
      </c>
      <c r="J6" s="0" t="n">
        <v>64460.302955</v>
      </c>
      <c r="K6" s="0" t="n">
        <v>8.1520654804</v>
      </c>
      <c r="L6" s="0" t="n">
        <f aca="false">+LN(B5)</f>
        <v>8.12572270024774</v>
      </c>
      <c r="M6" s="0" t="n">
        <v>0.0066942097</v>
      </c>
      <c r="N6" s="0" t="n">
        <v>0.0077439337</v>
      </c>
      <c r="O6" s="0" t="n">
        <v>0.0096328887</v>
      </c>
      <c r="P6" s="0" t="n">
        <v>0.0102960524</v>
      </c>
      <c r="Q6" s="0" t="n">
        <v>13.158577833</v>
      </c>
      <c r="R6" s="0" t="n">
        <v>12.794637608</v>
      </c>
      <c r="S6" s="0" t="n">
        <v>11.163554289</v>
      </c>
      <c r="T6" s="0" t="n">
        <v>2.9842346098</v>
      </c>
    </row>
    <row r="7" customFormat="false" ht="14.5" hidden="false" customHeight="false" outlineLevel="0" collapsed="false">
      <c r="A7" s="1" t="n">
        <v>44199</v>
      </c>
      <c r="B7" s="0" t="n">
        <v>3528.3</v>
      </c>
      <c r="C7" s="0" t="n">
        <v>75693.326358</v>
      </c>
      <c r="D7" s="0" t="n">
        <v>586615.22088</v>
      </c>
      <c r="E7" s="0" t="n">
        <v>21.931071429</v>
      </c>
      <c r="F7" s="0" t="n">
        <v>4688695.3129</v>
      </c>
      <c r="G7" s="0" t="n">
        <v>413591.7482</v>
      </c>
      <c r="H7" s="0" t="n">
        <v>25.825484862</v>
      </c>
      <c r="I7" s="0" t="n">
        <v>2718595.9871</v>
      </c>
      <c r="J7" s="0" t="n">
        <v>69080.862182</v>
      </c>
      <c r="K7" s="0" t="n">
        <v>8.1685714475</v>
      </c>
      <c r="L7" s="0" t="n">
        <f aca="false">+LN(B6)</f>
        <v>8.15206548042997</v>
      </c>
      <c r="M7" s="0" t="n">
        <v>0.0060146752</v>
      </c>
      <c r="N7" s="0" t="n">
        <v>0.0063544424</v>
      </c>
      <c r="O7" s="0" t="n">
        <v>0.0085308762</v>
      </c>
      <c r="P7" s="0" t="n">
        <v>0.0090818825</v>
      </c>
      <c r="Q7" s="0" t="n">
        <v>13.282124383</v>
      </c>
      <c r="R7" s="0" t="n">
        <v>12.932634651</v>
      </c>
      <c r="S7" s="0" t="n">
        <v>11.234445276</v>
      </c>
      <c r="T7" s="0" t="n">
        <v>3.087904418</v>
      </c>
    </row>
    <row r="8" customFormat="false" ht="14.5" hidden="false" customHeight="false" outlineLevel="0" collapsed="false">
      <c r="A8" s="1" t="n">
        <v>44202</v>
      </c>
      <c r="B8" s="0" t="n">
        <v>3630.67</v>
      </c>
      <c r="C8" s="0" t="n">
        <v>81098.218206</v>
      </c>
      <c r="D8" s="0" t="n">
        <v>691393.3953</v>
      </c>
      <c r="E8" s="0" t="n">
        <v>14.921818182</v>
      </c>
      <c r="F8" s="0" t="n">
        <v>4894655.0353</v>
      </c>
      <c r="G8" s="0" t="n">
        <v>629347.71319</v>
      </c>
      <c r="H8" s="0" t="n">
        <v>18.921689394</v>
      </c>
      <c r="I8" s="0" t="n">
        <v>4825861.3266</v>
      </c>
      <c r="J8" s="0" t="n">
        <v>82413.690549</v>
      </c>
      <c r="K8" s="0" t="n">
        <v>8.1971724832</v>
      </c>
      <c r="L8" s="0" t="n">
        <f aca="false">+LN(B7)</f>
        <v>8.1685714475251</v>
      </c>
      <c r="M8" s="0" t="n">
        <v>0.0052512362</v>
      </c>
      <c r="N8" s="0" t="n">
        <v>0.0056329557</v>
      </c>
      <c r="O8" s="0" t="n">
        <v>0.0057689413</v>
      </c>
      <c r="P8" s="0" t="n">
        <v>0.0071499087</v>
      </c>
      <c r="Q8" s="0" t="n">
        <v>13.446464254</v>
      </c>
      <c r="R8" s="0" t="n">
        <v>13.352439186</v>
      </c>
      <c r="S8" s="0" t="n">
        <v>11.30341627</v>
      </c>
      <c r="T8" s="0" t="n">
        <v>2.7028244494</v>
      </c>
    </row>
    <row r="9" customFormat="false" ht="14.5" hidden="false" customHeight="false" outlineLevel="0" collapsed="false">
      <c r="A9" s="1" t="n">
        <v>44205</v>
      </c>
      <c r="B9" s="0" t="n">
        <v>3725.83</v>
      </c>
      <c r="C9" s="0" t="n">
        <v>78297.01174</v>
      </c>
      <c r="D9" s="0" t="n">
        <v>913105.5678</v>
      </c>
      <c r="E9" s="0" t="n">
        <v>15.721547619</v>
      </c>
      <c r="F9" s="0" t="n">
        <v>7002866.0042</v>
      </c>
      <c r="G9" s="0" t="n">
        <v>723950.13969</v>
      </c>
      <c r="H9" s="0" t="n">
        <v>16.385805014</v>
      </c>
      <c r="I9" s="0" t="n">
        <v>5528122.2936</v>
      </c>
      <c r="J9" s="0" t="n">
        <v>77827.525131</v>
      </c>
      <c r="K9" s="0" t="n">
        <v>8.2230449248</v>
      </c>
      <c r="L9" s="0" t="n">
        <f aca="false">+LN(B8)</f>
        <v>8.19717248323015</v>
      </c>
      <c r="M9" s="0" t="n">
        <v>0.0040803935</v>
      </c>
      <c r="N9" s="0" t="n">
        <v>0.0046658148</v>
      </c>
      <c r="O9" s="0" t="n">
        <v>0.0051465285</v>
      </c>
      <c r="P9" s="0" t="n">
        <v>0.0054577349</v>
      </c>
      <c r="Q9" s="0" t="n">
        <v>13.72460678</v>
      </c>
      <c r="R9" s="0" t="n">
        <v>13.492477801</v>
      </c>
      <c r="S9" s="0" t="n">
        <v>11.268264717</v>
      </c>
      <c r="T9" s="0" t="n">
        <v>2.7550322312</v>
      </c>
    </row>
    <row r="10" customFormat="false" ht="14.5" hidden="false" customHeight="false" outlineLevel="0" collapsed="false">
      <c r="A10" s="1" t="n">
        <v>44208</v>
      </c>
      <c r="B10" s="0" t="n">
        <v>3856.72</v>
      </c>
      <c r="C10" s="0" t="n">
        <v>60133.109103</v>
      </c>
      <c r="D10" s="0" t="n">
        <v>922403.33661</v>
      </c>
      <c r="E10" s="0" t="n">
        <v>17.178478261</v>
      </c>
      <c r="F10" s="0" t="n">
        <v>7741038.3719</v>
      </c>
      <c r="G10" s="0" t="n">
        <v>792356.6017</v>
      </c>
      <c r="H10" s="0" t="n">
        <v>16.595075927</v>
      </c>
      <c r="I10" s="0" t="n">
        <v>6217247.2508</v>
      </c>
      <c r="J10" s="0" t="n">
        <v>77614.46342</v>
      </c>
      <c r="K10" s="0" t="n">
        <v>8.2575723603</v>
      </c>
      <c r="L10" s="0" t="n">
        <f aca="false">+LN(B9)</f>
        <v>8.22304492478519</v>
      </c>
      <c r="M10" s="0" t="n">
        <v>0.0041811644</v>
      </c>
      <c r="N10" s="0" t="n">
        <v>0.0041307789</v>
      </c>
      <c r="O10" s="0" t="n">
        <v>0.0048674044</v>
      </c>
      <c r="P10" s="0" t="n">
        <v>0.0050069664</v>
      </c>
      <c r="Q10" s="0" t="n">
        <v>13.734737865</v>
      </c>
      <c r="R10" s="0" t="n">
        <v>13.582766824</v>
      </c>
      <c r="S10" s="0" t="n">
        <v>11.004315869</v>
      </c>
      <c r="T10" s="0" t="n">
        <v>2.8436573364</v>
      </c>
    </row>
    <row r="11" customFormat="false" ht="14.5" hidden="false" customHeight="false" outlineLevel="0" collapsed="false">
      <c r="A11" s="1" t="n">
        <v>44564</v>
      </c>
      <c r="B11" s="0" t="n">
        <v>3971.25</v>
      </c>
      <c r="C11" s="0" t="n">
        <v>73180.323214</v>
      </c>
      <c r="D11" s="0" t="n">
        <v>967157.61317</v>
      </c>
      <c r="E11" s="0" t="n">
        <v>25.079761905</v>
      </c>
      <c r="F11" s="0" t="n">
        <v>9698039.7838</v>
      </c>
      <c r="G11" s="0" t="n">
        <v>830644.59978</v>
      </c>
      <c r="H11" s="0" t="n">
        <v>17.910026688</v>
      </c>
      <c r="I11" s="0" t="n">
        <v>7083951.8711</v>
      </c>
      <c r="J11" s="0" t="n">
        <v>75973.325404</v>
      </c>
      <c r="K11" s="0" t="n">
        <v>8.2868361856</v>
      </c>
      <c r="L11" s="0" t="n">
        <f aca="false">+LN(B10)</f>
        <v>8.25757236029176</v>
      </c>
      <c r="M11" s="0" t="n">
        <v>0.0041061043</v>
      </c>
      <c r="N11" s="0" t="n">
        <v>0.0041436343</v>
      </c>
      <c r="O11" s="0" t="n">
        <v>0.0047809256</v>
      </c>
      <c r="P11" s="0" t="n">
        <v>0.004824165</v>
      </c>
      <c r="Q11" s="0" t="n">
        <v>13.782116753</v>
      </c>
      <c r="R11" s="0" t="n">
        <v>13.629957305</v>
      </c>
      <c r="S11" s="0" t="n">
        <v>11.200681855</v>
      </c>
      <c r="T11" s="0" t="n">
        <v>3.2220612223</v>
      </c>
    </row>
    <row r="12" customFormat="false" ht="14.5" hidden="false" customHeight="false" outlineLevel="0" collapsed="false">
      <c r="A12" s="1" t="n">
        <v>44567</v>
      </c>
      <c r="B12" s="0" t="n">
        <v>4099.26</v>
      </c>
      <c r="C12" s="0" t="n">
        <v>48968.568806</v>
      </c>
      <c r="D12" s="0" t="n">
        <v>950762.48687</v>
      </c>
      <c r="E12" s="0" t="n">
        <v>21.128409091</v>
      </c>
      <c r="F12" s="0" t="n">
        <v>11104983.888</v>
      </c>
      <c r="G12" s="0" t="n">
        <v>955117.6423</v>
      </c>
      <c r="H12" s="0" t="n">
        <v>20.869910382</v>
      </c>
      <c r="I12" s="0" t="n">
        <v>10646619.769</v>
      </c>
      <c r="J12" s="0" t="n">
        <v>63877.440974</v>
      </c>
      <c r="K12" s="0" t="n">
        <v>8.3185617486</v>
      </c>
      <c r="L12" s="0" t="n">
        <f aca="false">+LN(B11)</f>
        <v>8.28683618558373</v>
      </c>
      <c r="M12" s="0" t="n">
        <v>0.00431155</v>
      </c>
      <c r="N12" s="0" t="n">
        <v>0.0042088271</v>
      </c>
      <c r="O12" s="0" t="n">
        <v>0.0042918901</v>
      </c>
      <c r="P12" s="0" t="n">
        <v>0.0045364079</v>
      </c>
      <c r="Q12" s="0" t="n">
        <v>13.765019559</v>
      </c>
      <c r="R12" s="0" t="n">
        <v>13.769589798</v>
      </c>
      <c r="S12" s="0" t="n">
        <v>10.798933918</v>
      </c>
      <c r="T12" s="0" t="n">
        <v>3.0506185373</v>
      </c>
    </row>
    <row r="13" customFormat="false" ht="14.5" hidden="false" customHeight="false" outlineLevel="0" collapsed="false">
      <c r="A13" s="1" t="n">
        <v>44570</v>
      </c>
      <c r="B13" s="0" t="n">
        <v>4245.78</v>
      </c>
      <c r="C13" s="0" t="n">
        <v>69738.444433</v>
      </c>
      <c r="D13" s="0" t="n">
        <v>1159872.1494</v>
      </c>
      <c r="E13" s="0" t="n">
        <v>19.554318182</v>
      </c>
      <c r="F13" s="0" t="n">
        <v>15238984.569</v>
      </c>
      <c r="G13" s="0" t="n">
        <v>1012007.2922</v>
      </c>
      <c r="H13" s="0" t="n">
        <v>19.839727467</v>
      </c>
      <c r="I13" s="0" t="n">
        <v>11990761.717</v>
      </c>
      <c r="J13" s="0" t="n">
        <v>63176.094884</v>
      </c>
      <c r="K13" s="0" t="n">
        <v>8.3536808274</v>
      </c>
      <c r="L13" s="0" t="n">
        <f aca="false">+LN(B12)</f>
        <v>8.31856174859764</v>
      </c>
      <c r="M13" s="0" t="n">
        <v>0.0036605586</v>
      </c>
      <c r="N13" s="0" t="n">
        <v>0.0039860543</v>
      </c>
      <c r="O13" s="0" t="n">
        <v>0.0041954046</v>
      </c>
      <c r="P13" s="0" t="n">
        <v>0.0042436474</v>
      </c>
      <c r="Q13" s="0" t="n">
        <v>13.963820341</v>
      </c>
      <c r="R13" s="0" t="n">
        <v>13.827446334</v>
      </c>
      <c r="S13" s="0" t="n">
        <v>11.152507015</v>
      </c>
      <c r="T13" s="0" t="n">
        <v>2.9731961409</v>
      </c>
    </row>
    <row r="14" customFormat="false" ht="14.5" hidden="false" customHeight="false" outlineLevel="0" collapsed="false">
      <c r="A14" s="1" t="n">
        <v>44573</v>
      </c>
      <c r="B14" s="2" t="n">
        <v>4432.51</v>
      </c>
      <c r="C14" s="0" t="n">
        <v>59574.818522</v>
      </c>
      <c r="D14" s="0" t="n">
        <v>1335905.4074</v>
      </c>
      <c r="E14" s="0" t="n">
        <v>14.225681818</v>
      </c>
      <c r="F14" s="0" t="n">
        <v>19085781.307</v>
      </c>
      <c r="G14" s="0" t="n">
        <v>1082961.8612</v>
      </c>
      <c r="H14" s="0" t="n">
        <v>18.486060179</v>
      </c>
      <c r="I14" s="0" t="n">
        <v>13425197.325</v>
      </c>
      <c r="J14" s="0" t="n">
        <v>61826.094155</v>
      </c>
      <c r="K14" s="0" t="n">
        <f aca="false">LN(B14)</f>
        <v>8.39672129400899</v>
      </c>
      <c r="L14" s="0" t="n">
        <f aca="false">+LN(B13)</f>
        <v>8.35368082744934</v>
      </c>
      <c r="M14" s="0" t="n">
        <v>0.0038905225</v>
      </c>
      <c r="N14" s="0" t="n">
        <v>0.0037755405</v>
      </c>
      <c r="O14" s="0" t="n">
        <v>0.0047992179</v>
      </c>
      <c r="P14" s="0" t="n">
        <v>0.0044973112</v>
      </c>
      <c r="Q14" s="0" t="n">
        <v>14.105119828</v>
      </c>
      <c r="R14" s="0" t="n">
        <v>13.89521031</v>
      </c>
      <c r="S14" s="0" t="n">
        <v>10.994988256</v>
      </c>
      <c r="T14" s="0" t="n">
        <v>2.6550489098</v>
      </c>
    </row>
    <row r="15" customFormat="false" ht="14.5" hidden="false" customHeight="false" outlineLevel="0" collapsed="false">
      <c r="A15" s="1" t="n">
        <v>44929</v>
      </c>
      <c r="B15" s="0" t="n">
        <v>4797.23</v>
      </c>
      <c r="C15" s="0" t="n">
        <v>54508.226142</v>
      </c>
      <c r="D15" s="0" t="n">
        <v>1369359.4319</v>
      </c>
      <c r="E15" s="0" t="n">
        <v>14.354642857</v>
      </c>
      <c r="F15" s="0" t="n">
        <v>23472029.382</v>
      </c>
      <c r="G15" s="0" t="n">
        <v>1144457.9224</v>
      </c>
      <c r="H15" s="0" t="n">
        <v>17.4831369</v>
      </c>
      <c r="I15" s="0" t="n">
        <v>15425306.096</v>
      </c>
      <c r="J15" s="0" t="n">
        <v>60124.993559</v>
      </c>
      <c r="K15" s="0" t="n">
        <v>8.475793947</v>
      </c>
      <c r="L15" s="0" t="n">
        <f aca="false">+LN(B14)</f>
        <v>8.39672129400899</v>
      </c>
      <c r="M15" s="0" t="n">
        <v>0.0035032658</v>
      </c>
      <c r="N15" s="0" t="n">
        <v>0.0036968941</v>
      </c>
      <c r="O15" s="0" t="n">
        <v>0.004191705</v>
      </c>
      <c r="P15" s="0" t="n">
        <v>0.0044954615</v>
      </c>
      <c r="Q15" s="0" t="n">
        <v>14.129853621</v>
      </c>
      <c r="R15" s="0" t="n">
        <v>13.950441653</v>
      </c>
      <c r="S15" s="0" t="n">
        <v>10.906106908</v>
      </c>
      <c r="T15" s="0" t="n">
        <v>2.6640734339</v>
      </c>
    </row>
    <row r="16" customFormat="false" ht="14.5" hidden="false" customHeight="false" outlineLevel="0" collapsed="false">
      <c r="A16" s="1" t="n">
        <v>44932</v>
      </c>
      <c r="B16" s="0" t="n">
        <v>5197.37</v>
      </c>
      <c r="C16" s="0" t="n">
        <v>70178.79881</v>
      </c>
      <c r="D16" s="0" t="n">
        <v>1666038.5812</v>
      </c>
      <c r="E16" s="0" t="n">
        <v>11.18047619</v>
      </c>
      <c r="F16" s="0" t="n">
        <v>25821331.049</v>
      </c>
      <c r="G16" s="0" t="n">
        <v>1548174.4232</v>
      </c>
      <c r="H16" s="0" t="n">
        <v>11.877402491</v>
      </c>
      <c r="I16" s="0" t="n">
        <v>25054653.265</v>
      </c>
      <c r="J16" s="0" t="n">
        <v>64361.874297</v>
      </c>
      <c r="K16" s="0" t="n">
        <v>8.5559080074</v>
      </c>
      <c r="L16" s="0" t="n">
        <f aca="false">+LN(B15)</f>
        <v>8.47579394698597</v>
      </c>
      <c r="M16" s="0" t="n">
        <v>0.0031195976</v>
      </c>
      <c r="N16" s="0" t="n">
        <v>0.0033114317</v>
      </c>
      <c r="O16" s="0" t="n">
        <v>0.0033570959</v>
      </c>
      <c r="P16" s="0" t="n">
        <v>0.0037744004</v>
      </c>
      <c r="Q16" s="0" t="n">
        <v>14.325959259</v>
      </c>
      <c r="R16" s="0" t="n">
        <v>14.252587003</v>
      </c>
      <c r="S16" s="0" t="n">
        <v>11.158801533</v>
      </c>
      <c r="T16" s="0" t="n">
        <v>2.4141690599</v>
      </c>
    </row>
    <row r="17" customFormat="false" ht="14.5" hidden="false" customHeight="false" outlineLevel="0" collapsed="false">
      <c r="A17" s="1" t="n">
        <v>44935</v>
      </c>
      <c r="B17" s="0" t="n">
        <v>5941.18</v>
      </c>
      <c r="C17" s="0" t="n">
        <v>93248.859007</v>
      </c>
      <c r="D17" s="0" t="n">
        <v>1872309.3267</v>
      </c>
      <c r="E17" s="0" t="n">
        <v>11.197125</v>
      </c>
      <c r="F17" s="0" t="n">
        <v>35680434.779</v>
      </c>
      <c r="G17" s="0" t="n">
        <v>1682162.4394</v>
      </c>
      <c r="H17" s="0" t="n">
        <v>11.608127382</v>
      </c>
      <c r="I17" s="0" t="n">
        <v>28789790.541</v>
      </c>
      <c r="J17" s="0" t="n">
        <v>75659.56156</v>
      </c>
      <c r="K17" s="0" t="n">
        <v>8.6896630458</v>
      </c>
      <c r="L17" s="0" t="n">
        <f aca="false">+LN(B16)</f>
        <v>8.55590800739435</v>
      </c>
      <c r="M17" s="0" t="n">
        <v>0.0031731829</v>
      </c>
      <c r="N17" s="0" t="n">
        <v>0.0031463903</v>
      </c>
      <c r="O17" s="0" t="n">
        <v>0.0035318706</v>
      </c>
      <c r="P17" s="0" t="n">
        <v>0.0034444832</v>
      </c>
      <c r="Q17" s="0" t="n">
        <v>14.442683161</v>
      </c>
      <c r="R17" s="0" t="n">
        <v>14.33559069</v>
      </c>
      <c r="S17" s="0" t="n">
        <v>11.443027102</v>
      </c>
      <c r="T17" s="0" t="n">
        <v>2.4156570489</v>
      </c>
    </row>
    <row r="18" customFormat="false" ht="14.5" hidden="false" customHeight="false" outlineLevel="0" collapsed="false">
      <c r="A18" s="1" t="n">
        <v>44938</v>
      </c>
      <c r="B18" s="0" t="n">
        <v>6636.76</v>
      </c>
      <c r="C18" s="0" t="n">
        <v>119557.19902</v>
      </c>
      <c r="D18" s="0" t="n">
        <v>2102335.7055</v>
      </c>
      <c r="E18" s="0" t="n">
        <v>13.512875</v>
      </c>
      <c r="F18" s="0" t="n">
        <v>44922456.588</v>
      </c>
      <c r="G18" s="0" t="n">
        <v>1773545.1179</v>
      </c>
      <c r="H18" s="0" t="n">
        <v>11.760455953</v>
      </c>
      <c r="I18" s="0" t="n">
        <v>32093910.651</v>
      </c>
      <c r="J18" s="0" t="n">
        <v>81097.136128</v>
      </c>
      <c r="K18" s="0" t="n">
        <v>8.8003791716</v>
      </c>
      <c r="L18" s="0" t="n">
        <f aca="false">+LN(B17)</f>
        <v>8.68966304582641</v>
      </c>
      <c r="M18" s="0" t="n">
        <v>0.0031568507</v>
      </c>
      <c r="N18" s="0" t="n">
        <v>0.0031650168</v>
      </c>
      <c r="O18" s="0" t="n">
        <v>0.0037420869</v>
      </c>
      <c r="P18" s="0" t="n">
        <v>0.0036369787</v>
      </c>
      <c r="Q18" s="0" t="n">
        <v>14.558559525</v>
      </c>
      <c r="R18" s="0" t="n">
        <v>14.388490993</v>
      </c>
      <c r="S18" s="0" t="n">
        <v>11.691550189</v>
      </c>
      <c r="T18" s="0" t="n">
        <v>2.6036429347</v>
      </c>
    </row>
    <row r="19" customFormat="false" ht="14.5" hidden="false" customHeight="false" outlineLevel="0" collapsed="false">
      <c r="A19" s="1" t="n">
        <v>45294</v>
      </c>
      <c r="B19" s="0" t="n">
        <v>8818.99</v>
      </c>
      <c r="C19" s="0" t="n">
        <v>116014.91521</v>
      </c>
      <c r="D19" s="0" t="n">
        <v>2138084.9011</v>
      </c>
      <c r="E19" s="0" t="n">
        <v>13.756842105</v>
      </c>
      <c r="F19" s="0" t="n">
        <v>48237727.606</v>
      </c>
      <c r="G19" s="0" t="n">
        <v>1865547.3767</v>
      </c>
      <c r="H19" s="0" t="n">
        <v>12.436604781</v>
      </c>
      <c r="I19" s="0" t="n">
        <v>35926833.284</v>
      </c>
      <c r="J19" s="0" t="n">
        <v>92440.37958</v>
      </c>
      <c r="K19" s="0" t="n">
        <v>9.08466263</v>
      </c>
      <c r="L19" s="0" t="n">
        <f aca="false">+LN(B18)</f>
        <v>8.80037917157603</v>
      </c>
      <c r="M19" s="0" t="n">
        <v>0.0041247146</v>
      </c>
      <c r="N19" s="0" t="n">
        <v>0.0036407827</v>
      </c>
      <c r="O19" s="0" t="n">
        <v>0.0047272935</v>
      </c>
      <c r="P19" s="0" t="n">
        <v>0.0042346902</v>
      </c>
      <c r="Q19" s="0" t="n">
        <v>14.57542108</v>
      </c>
      <c r="R19" s="0" t="n">
        <v>14.439065068</v>
      </c>
      <c r="S19" s="0" t="n">
        <v>11.661474041</v>
      </c>
      <c r="T19" s="0" t="n">
        <v>2.621536308</v>
      </c>
    </row>
    <row r="20" customFormat="false" ht="14.5" hidden="false" customHeight="false" outlineLevel="0" collapsed="false">
      <c r="A20" s="1" t="n">
        <v>45297</v>
      </c>
      <c r="B20" s="0" t="n">
        <v>9130.28</v>
      </c>
      <c r="C20" s="0" t="n">
        <v>172986.73988</v>
      </c>
      <c r="D20" s="0" t="n">
        <v>2356652.8165</v>
      </c>
      <c r="E20" s="0" t="n">
        <v>15.562368421</v>
      </c>
      <c r="F20" s="0" t="n">
        <v>49681649.529</v>
      </c>
      <c r="G20" s="0" t="n">
        <v>2256819.4669</v>
      </c>
      <c r="H20" s="0" t="n">
        <v>15.820380383</v>
      </c>
      <c r="I20" s="0" t="n">
        <v>46379464.534</v>
      </c>
      <c r="J20" s="0" t="n">
        <v>140354.23307</v>
      </c>
      <c r="K20" s="0" t="n">
        <v>9.1193516412</v>
      </c>
      <c r="L20" s="0" t="n">
        <f aca="false">+LN(B19)</f>
        <v>9.08466262997213</v>
      </c>
      <c r="M20" s="0" t="n">
        <v>0.0038742576</v>
      </c>
      <c r="N20" s="0" t="n">
        <v>0.0039994861</v>
      </c>
      <c r="O20" s="0" t="n">
        <v>0.0040456404</v>
      </c>
      <c r="P20" s="0" t="n">
        <v>0.004386467</v>
      </c>
      <c r="Q20" s="0" t="n">
        <v>14.672752872</v>
      </c>
      <c r="R20" s="0" t="n">
        <v>14.629467065</v>
      </c>
      <c r="S20" s="0" t="n">
        <v>12.060970222</v>
      </c>
      <c r="T20" s="0" t="n">
        <v>2.7448557193</v>
      </c>
    </row>
    <row r="21" customFormat="false" ht="14.5" hidden="false" customHeight="false" outlineLevel="0" collapsed="false">
      <c r="A21" s="1" t="n">
        <v>45300</v>
      </c>
      <c r="B21" s="0" t="n">
        <v>9428.55</v>
      </c>
      <c r="C21" s="0" t="n">
        <v>135382.62797</v>
      </c>
      <c r="D21" s="0" t="n">
        <v>2765841.1153</v>
      </c>
      <c r="E21" s="0" t="n">
        <v>13.286547619</v>
      </c>
      <c r="F21" s="0" t="n">
        <v>53700455.668</v>
      </c>
      <c r="G21" s="0" t="n">
        <v>2420274.6485</v>
      </c>
      <c r="H21" s="0" t="n">
        <v>14.864829441</v>
      </c>
      <c r="I21" s="0" t="n">
        <v>48730646.338</v>
      </c>
      <c r="J21" s="0" t="n">
        <v>142503.57919</v>
      </c>
      <c r="K21" s="0" t="n">
        <v>9.1514975992</v>
      </c>
      <c r="L21" s="0" t="n">
        <f aca="false">+LN(B20)</f>
        <v>9.11935164124581</v>
      </c>
      <c r="M21" s="0" t="n">
        <v>0.0034089268</v>
      </c>
      <c r="N21" s="0" t="n">
        <v>0.0036415922</v>
      </c>
      <c r="O21" s="0" t="n">
        <v>0.0038956529</v>
      </c>
      <c r="P21" s="0" t="n">
        <v>0.0039706467</v>
      </c>
      <c r="Q21" s="0" t="n">
        <v>14.832855348</v>
      </c>
      <c r="R21" s="0" t="n">
        <v>14.699391583</v>
      </c>
      <c r="S21" s="0" t="n">
        <v>11.81586033</v>
      </c>
      <c r="T21" s="0" t="n">
        <v>2.5867520661</v>
      </c>
    </row>
    <row r="22" customFormat="false" ht="14.5" hidden="false" customHeight="false" outlineLevel="0" collapsed="false">
      <c r="A22" s="1" t="n">
        <v>45303</v>
      </c>
      <c r="B22" s="0" t="n">
        <v>11673.78</v>
      </c>
      <c r="C22" s="0" t="n">
        <v>114638.54967</v>
      </c>
      <c r="D22" s="0" t="n">
        <v>2486473.8461</v>
      </c>
      <c r="E22" s="0" t="n">
        <v>14.020714286</v>
      </c>
      <c r="F22" s="0" t="n">
        <v>29443405.97</v>
      </c>
      <c r="G22" s="0" t="n">
        <v>2464461.9124</v>
      </c>
      <c r="H22" s="0" t="n">
        <v>14.710757126</v>
      </c>
      <c r="I22" s="0" t="n">
        <v>46637382.226</v>
      </c>
      <c r="J22" s="0" t="n">
        <v>133746.32064</v>
      </c>
      <c r="K22" s="0" t="n">
        <v>9.3651005803</v>
      </c>
      <c r="L22" s="0" t="n">
        <f aca="false">+LN(B21)</f>
        <v>9.15149759922339</v>
      </c>
      <c r="M22" s="0" t="n">
        <v>0.0046949136</v>
      </c>
      <c r="N22" s="0" t="n">
        <v>0.0040519202</v>
      </c>
      <c r="O22" s="0" t="n">
        <v>0.0047368474</v>
      </c>
      <c r="P22" s="0" t="n">
        <v>0.0043162502</v>
      </c>
      <c r="Q22" s="0" t="n">
        <v>14.726376139</v>
      </c>
      <c r="R22" s="0" t="n">
        <v>14.717484051</v>
      </c>
      <c r="S22" s="0" t="n">
        <v>11.649539411</v>
      </c>
      <c r="T22" s="0" t="n">
        <v>2.6405358279</v>
      </c>
    </row>
    <row r="23" customFormat="false" ht="14.5" hidden="false" customHeight="false" outlineLevel="0" collapsed="false">
      <c r="A23" s="1" t="n">
        <v>45660</v>
      </c>
      <c r="B23" s="0" t="n">
        <v>11978.58</v>
      </c>
      <c r="C23" s="0" t="n">
        <v>107611.9279</v>
      </c>
      <c r="D23" s="0" t="n">
        <v>2231725.2157</v>
      </c>
      <c r="E23" s="0" t="n">
        <v>13.443684211</v>
      </c>
      <c r="F23" s="0" t="n">
        <v>35163822.061</v>
      </c>
      <c r="G23" s="0" t="n">
        <v>2395941.8703</v>
      </c>
      <c r="H23" s="0" t="n">
        <v>14.689038359</v>
      </c>
      <c r="I23" s="0" t="n">
        <v>42763992.24</v>
      </c>
      <c r="J23" s="0" t="n">
        <v>126430.66246</v>
      </c>
      <c r="K23" s="0" t="n">
        <v>9.3908753338</v>
      </c>
      <c r="L23" s="0" t="n">
        <f aca="false">+LN(B22)</f>
        <v>9.36510058028892</v>
      </c>
      <c r="M23" s="0" t="n">
        <v>0.0053674081</v>
      </c>
      <c r="N23" s="0" t="n">
        <v>0.0050311609</v>
      </c>
      <c r="O23" s="0" t="n">
        <v>0.0049995286</v>
      </c>
      <c r="P23" s="0" t="n">
        <v>0.004868188</v>
      </c>
      <c r="Q23" s="0" t="n">
        <v>14.618285484</v>
      </c>
      <c r="R23" s="0" t="n">
        <v>14.689286977</v>
      </c>
      <c r="S23" s="0" t="n">
        <v>11.586286775</v>
      </c>
      <c r="T23" s="0" t="n">
        <v>2.5985094203</v>
      </c>
    </row>
    <row r="24" customFormat="false" ht="14.5" hidden="false" customHeight="false" outlineLevel="0" collapsed="false">
      <c r="A24" s="1" t="n">
        <v>45663</v>
      </c>
      <c r="B24" s="0" t="n">
        <v>12226.74</v>
      </c>
      <c r="C24" s="0" t="n">
        <v>127477.67026</v>
      </c>
      <c r="D24" s="0" t="n">
        <v>2268537.7845</v>
      </c>
      <c r="E24" s="0" t="n">
        <v>14.310952381</v>
      </c>
      <c r="F24" s="0" t="n">
        <v>33407874.641</v>
      </c>
      <c r="G24" s="0" t="n">
        <v>2224845.0721</v>
      </c>
      <c r="H24" s="0" t="n">
        <v>16.387585631</v>
      </c>
      <c r="I24" s="0" t="n">
        <v>34773882.655</v>
      </c>
      <c r="J24" s="0" t="n">
        <v>121278.04818</v>
      </c>
      <c r="K24" s="0" t="n">
        <v>9.4113806355</v>
      </c>
      <c r="L24" s="0" t="n">
        <f aca="false">+LN(B23)</f>
        <v>9.39087533375929</v>
      </c>
      <c r="M24" s="0" t="n">
        <v>0.0053897008</v>
      </c>
      <c r="N24" s="0" t="n">
        <v>0.0053785545</v>
      </c>
      <c r="O24" s="0" t="n">
        <v>0.0054955467</v>
      </c>
      <c r="P24" s="0" t="n">
        <v>0.0052475377</v>
      </c>
      <c r="Q24" s="0" t="n">
        <v>14.634646034</v>
      </c>
      <c r="R24" s="0" t="n">
        <v>14.615197841</v>
      </c>
      <c r="S24" s="0" t="n">
        <v>11.755696493</v>
      </c>
      <c r="T24" s="0" t="n">
        <v>2.6610251449</v>
      </c>
    </row>
    <row r="25" customFormat="false" ht="14.5" hidden="false" customHeight="false" outlineLevel="0" collapsed="false">
      <c r="A25" s="1" t="n">
        <v>45666</v>
      </c>
      <c r="B25" s="0" t="n">
        <v>12487.43</v>
      </c>
      <c r="C25" s="0" t="n">
        <v>111678.46988</v>
      </c>
      <c r="D25" s="0" t="n">
        <v>2374375.3588</v>
      </c>
      <c r="E25" s="0" t="n">
        <v>10.679090909</v>
      </c>
      <c r="F25" s="0" t="n">
        <v>42184354.376</v>
      </c>
      <c r="G25" s="0" t="n">
        <v>2249667.7951</v>
      </c>
      <c r="H25" s="0" t="n">
        <v>13.90870995</v>
      </c>
      <c r="I25" s="0" t="n">
        <v>37215510.304</v>
      </c>
      <c r="J25" s="0" t="n">
        <v>115507.29098</v>
      </c>
      <c r="K25" s="0" t="n">
        <v>9.4324778173</v>
      </c>
      <c r="L25" s="0" t="n">
        <f aca="false">+LN(B24)</f>
        <v>9.41138063550328</v>
      </c>
      <c r="M25" s="0" t="n">
        <v>0.0052592485</v>
      </c>
      <c r="N25" s="0" t="n">
        <v>0.0053244747</v>
      </c>
      <c r="O25" s="0" t="n">
        <v>0.0055507884</v>
      </c>
      <c r="P25" s="0" t="n">
        <v>0.0055231676</v>
      </c>
      <c r="Q25" s="0" t="n">
        <v>14.680244954</v>
      </c>
      <c r="R25" s="0" t="n">
        <v>14.626293117</v>
      </c>
      <c r="S25" s="0" t="n">
        <v>11.623379217</v>
      </c>
      <c r="T25" s="0" t="n">
        <v>2.368287709</v>
      </c>
    </row>
    <row r="26" customFormat="false" ht="14.5" hidden="false" customHeight="false" outlineLevel="0" collapsed="false">
      <c r="A26" s="1" t="n">
        <v>45669</v>
      </c>
      <c r="B26" s="0" t="n">
        <v>12734.12</v>
      </c>
      <c r="C26" s="0" t="n">
        <v>106721.82545</v>
      </c>
      <c r="D26" s="0" t="n">
        <v>2530015.2322</v>
      </c>
      <c r="E26" s="0" t="n">
        <v>10.198636364</v>
      </c>
      <c r="F26" s="0" t="n">
        <v>45842841.412</v>
      </c>
      <c r="G26" s="0" t="n">
        <v>2330186.4398</v>
      </c>
      <c r="H26" s="0" t="n">
        <v>13.00189015</v>
      </c>
      <c r="I26" s="0" t="n">
        <v>40794497.432</v>
      </c>
      <c r="J26" s="0" t="n">
        <v>115045.73112</v>
      </c>
      <c r="K26" s="0" t="n">
        <v>9.4520402841</v>
      </c>
      <c r="L26" s="0" t="n">
        <f aca="false">+LN(B25)</f>
        <v>9.43247781733549</v>
      </c>
      <c r="M26" s="0" t="n">
        <v>0.0050332187</v>
      </c>
      <c r="N26" s="0" t="n">
        <v>0.0051462336</v>
      </c>
      <c r="O26" s="0" t="n">
        <v>0.0054648503</v>
      </c>
      <c r="P26" s="0" t="n">
        <v>0.0055078194</v>
      </c>
      <c r="Q26" s="0" t="n">
        <v>14.743735881</v>
      </c>
      <c r="R26" s="0" t="n">
        <v>14.661458839</v>
      </c>
      <c r="S26" s="0" t="n">
        <v>11.577980966</v>
      </c>
      <c r="T26" s="0" t="n">
        <v>2.3222540215</v>
      </c>
    </row>
    <row r="27" customFormat="false" ht="14.5" hidden="false" customHeight="false" outlineLevel="0" collapsed="false">
      <c r="A27" s="1" t="n">
        <v>46025</v>
      </c>
      <c r="B27" s="0" t="n">
        <v>13027.77</v>
      </c>
      <c r="C27" s="0" t="n">
        <v>139705.77101</v>
      </c>
      <c r="D27" s="0" t="n">
        <v>2232933.9561</v>
      </c>
      <c r="E27" s="0" t="n">
        <v>22.106842105</v>
      </c>
      <c r="F27" s="0" t="n">
        <v>50037399.074</v>
      </c>
      <c r="G27" s="0" t="n">
        <v>2346957.2887</v>
      </c>
      <c r="H27" s="0" t="n">
        <v>13.662559217</v>
      </c>
      <c r="I27" s="0" t="n">
        <v>43718886.178</v>
      </c>
      <c r="J27" s="0" t="n">
        <v>119914.0479</v>
      </c>
      <c r="K27" s="0" t="n">
        <v>9.474838512</v>
      </c>
      <c r="L27" s="0" t="n">
        <f aca="false">+LN(B26)</f>
        <v>9.45204028412296</v>
      </c>
      <c r="M27" s="0" t="n">
        <v>0.0058343732</v>
      </c>
      <c r="N27" s="0" t="n">
        <v>0.0054337959</v>
      </c>
      <c r="O27" s="0" t="n">
        <v>0.0055509191</v>
      </c>
      <c r="P27" s="0" t="n">
        <v>0.0055078847</v>
      </c>
      <c r="Q27" s="0" t="n">
        <v>14.618826954</v>
      </c>
      <c r="R27" s="0" t="n">
        <v>14.668630276</v>
      </c>
      <c r="S27" s="0" t="n">
        <v>11.847293854</v>
      </c>
      <c r="T27" s="0" t="n">
        <v>3.0958871581</v>
      </c>
    </row>
    <row r="28" customFormat="false" ht="14.5" hidden="false" customHeight="false" outlineLevel="0" collapsed="false">
      <c r="A28" s="1" t="n">
        <v>46028</v>
      </c>
      <c r="B28" s="0" t="n">
        <v>13361.94</v>
      </c>
      <c r="C28" s="0" t="n">
        <v>146663.0597</v>
      </c>
      <c r="D28" s="0" t="n">
        <v>2694381.3975</v>
      </c>
      <c r="E28" s="0" t="n">
        <v>14.542857143</v>
      </c>
      <c r="F28" s="0" t="n">
        <v>47773433.795</v>
      </c>
      <c r="G28" s="0" t="n">
        <v>2400867.0332</v>
      </c>
      <c r="H28" s="0" t="n">
        <v>17.425162907</v>
      </c>
      <c r="I28" s="0" t="n">
        <v>47366297.72</v>
      </c>
      <c r="J28" s="0" t="n">
        <v>151128.49267</v>
      </c>
      <c r="K28" s="0" t="n">
        <v>9.5001656461</v>
      </c>
      <c r="L28" s="0" t="n">
        <f aca="false">+LN(B27)</f>
        <v>9.4748385119572</v>
      </c>
      <c r="M28" s="0" t="n">
        <v>0.0049591866</v>
      </c>
      <c r="N28" s="0" t="n">
        <v>0.0053967799</v>
      </c>
      <c r="O28" s="0" t="n">
        <v>0.0055654644</v>
      </c>
      <c r="P28" s="0" t="n">
        <v>0.0055581917</v>
      </c>
      <c r="Q28" s="0" t="n">
        <v>14.806679199</v>
      </c>
      <c r="R28" s="0" t="n">
        <v>14.691340494</v>
      </c>
      <c r="S28" s="0" t="n">
        <v>11.895893124</v>
      </c>
      <c r="T28" s="0" t="n">
        <v>2.6770999551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2026-10-07T05:51:46Z</dcterms:created>
  <dc:creator>GOLAKA NATH</dc:creator>
  <dc:description/>
  <dc:language>en-US</dc:language>
  <cp:lastModifiedBy>GOLAKA NATH</cp:lastModifiedBy>
  <dcterms:modified xsi:type="dcterms:W3CDTF">2026-10-07T05:54:19Z</dcterms:modified>
  <cp:revision>0</cp:revision>
  <dc:subject/>
  <dc:title/>
</cp:coreProperties>
</file>