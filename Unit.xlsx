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44C345B2-CFA9-41B7-92C6-61C8C5A730CA}" xr6:coauthVersionLast="47" xr6:coauthVersionMax="47" xr10:uidLastSave="{00000000-0000-0000-0000-000000000000}"/>
  <bookViews>
    <workbookView xWindow="-110" yWindow="-110" windowWidth="19420" windowHeight="10300" xr2:uid="{28CBFD5A-3C3D-4619-B769-2957576C23F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</calcChain>
</file>

<file path=xl/sharedStrings.xml><?xml version="1.0" encoding="utf-8"?>
<sst xmlns="http://schemas.openxmlformats.org/spreadsheetml/2006/main" count="7" uniqueCount="7">
  <si>
    <t>MONTHYR</t>
  </si>
  <si>
    <t>LSGF</t>
  </si>
  <si>
    <t>LFO</t>
  </si>
  <si>
    <t>LOI</t>
  </si>
  <si>
    <t>LCM</t>
  </si>
  <si>
    <t>LVIX</t>
  </si>
  <si>
    <t>LYTDOI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</si>
</sst>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Paper_Regression_Data.xlsx" TargetMode="External"/><Relationship Id="rId1" Type="http://schemas.openxmlformats.org/officeDocument/2006/relationships/externalLinkPath" Target="Paper_Regression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STAT_K_AVG2Q"/>
      <sheetName val="SUMMARY_STAT_k"/>
      <sheetName val="ACTUAL_Jun2026_QTRLY"/>
      <sheetName val="SGF_K_RATIO_OI_YTDOI"/>
      <sheetName val="SGF1_SGF2"/>
      <sheetName val="PREDICTED"/>
    </sheetNames>
    <sheetDataSet>
      <sheetData sheetId="0"/>
      <sheetData sheetId="1"/>
      <sheetData sheetId="2"/>
      <sheetData sheetId="3">
        <row r="3">
          <cell r="A3">
            <v>43891</v>
          </cell>
          <cell r="B3">
            <v>3149.13</v>
          </cell>
          <cell r="C3">
            <v>3149.13</v>
          </cell>
          <cell r="D3">
            <v>54055.465787908099</v>
          </cell>
          <cell r="E3">
            <v>253346.42920749786</v>
          </cell>
          <cell r="F3">
            <v>53.063571428571429</v>
          </cell>
          <cell r="G3">
            <v>1146922.9819347807</v>
          </cell>
          <cell r="H3">
            <v>332914.38076649059</v>
          </cell>
        </row>
        <row r="4">
          <cell r="A4">
            <v>43983</v>
          </cell>
          <cell r="B4">
            <v>3266.26</v>
          </cell>
          <cell r="C4">
            <v>3266.26</v>
          </cell>
          <cell r="D4">
            <v>68303.041348210216</v>
          </cell>
          <cell r="E4">
            <v>301287.16546886868</v>
          </cell>
          <cell r="F4">
            <v>30.23761363636363</v>
          </cell>
          <cell r="G4">
            <v>1659105.303242442</v>
          </cell>
          <cell r="H4">
            <v>243546.15527789955</v>
          </cell>
        </row>
        <row r="5">
          <cell r="A5">
            <v>44075</v>
          </cell>
          <cell r="B5">
            <v>3380.31</v>
          </cell>
          <cell r="C5">
            <v>3380.31</v>
          </cell>
          <cell r="D5">
            <v>61206.861545954293</v>
          </cell>
          <cell r="E5">
            <v>384403.1781930271</v>
          </cell>
          <cell r="F5">
            <v>21.078977272727272</v>
          </cell>
          <cell r="G5">
            <v>2256927.5546008139</v>
          </cell>
          <cell r="H5">
            <v>308444.50513367832</v>
          </cell>
        </row>
        <row r="6">
          <cell r="A6">
            <v>44166</v>
          </cell>
          <cell r="B6">
            <v>3470.54</v>
          </cell>
          <cell r="C6">
            <v>3470.54</v>
          </cell>
          <cell r="D6">
            <v>70513.135366875969</v>
          </cell>
          <cell r="E6">
            <v>518439.09354047594</v>
          </cell>
          <cell r="F6">
            <v>19.771363636363638</v>
          </cell>
          <cell r="G6">
            <v>3283623.53670893</v>
          </cell>
          <cell r="H6">
            <v>360280.29630155477</v>
          </cell>
        </row>
        <row r="7">
          <cell r="A7">
            <v>44256</v>
          </cell>
          <cell r="B7">
            <v>3528.3</v>
          </cell>
          <cell r="C7">
            <v>3528.3</v>
          </cell>
          <cell r="D7">
            <v>75693.326357939091</v>
          </cell>
          <cell r="E7">
            <v>586615.22087879712</v>
          </cell>
          <cell r="F7">
            <v>21.931071428571425</v>
          </cell>
          <cell r="G7">
            <v>4688695.3129239017</v>
          </cell>
          <cell r="H7">
            <v>413591.74819883984</v>
          </cell>
        </row>
        <row r="8">
          <cell r="A8">
            <v>44348</v>
          </cell>
          <cell r="B8">
            <v>3630.67</v>
          </cell>
          <cell r="C8">
            <v>3630.67</v>
          </cell>
          <cell r="D8">
            <v>81098.218206319536</v>
          </cell>
          <cell r="E8">
            <v>691393.39530246658</v>
          </cell>
          <cell r="F8">
            <v>14.921818181818184</v>
          </cell>
          <cell r="G8">
            <v>4894655.0352812726</v>
          </cell>
          <cell r="H8">
            <v>629347.71319323627</v>
          </cell>
        </row>
        <row r="9">
          <cell r="A9">
            <v>44440</v>
          </cell>
          <cell r="B9">
            <v>3725.83</v>
          </cell>
          <cell r="C9">
            <v>3725.83</v>
          </cell>
          <cell r="D9">
            <v>78297.011739564026</v>
          </cell>
          <cell r="E9">
            <v>913105.56779519399</v>
          </cell>
          <cell r="F9">
            <v>15.721547619047618</v>
          </cell>
          <cell r="G9">
            <v>7002866.0042342264</v>
          </cell>
          <cell r="H9">
            <v>723950.13969367545</v>
          </cell>
        </row>
        <row r="10">
          <cell r="A10">
            <v>44531</v>
          </cell>
          <cell r="B10">
            <v>3856.72</v>
          </cell>
          <cell r="C10">
            <v>3856.72</v>
          </cell>
          <cell r="D10">
            <v>60133.109102888906</v>
          </cell>
          <cell r="E10">
            <v>922403.33660535607</v>
          </cell>
          <cell r="F10">
            <v>17.178478260869568</v>
          </cell>
          <cell r="G10">
            <v>7741038.3718543639</v>
          </cell>
          <cell r="H10">
            <v>792356.60170443496</v>
          </cell>
        </row>
        <row r="11">
          <cell r="A11">
            <v>44621</v>
          </cell>
          <cell r="B11">
            <v>3971.25</v>
          </cell>
          <cell r="C11">
            <v>3971.25</v>
          </cell>
          <cell r="D11">
            <v>73180.323214307995</v>
          </cell>
          <cell r="E11">
            <v>967157.61316651455</v>
          </cell>
          <cell r="F11">
            <v>25.079761904761909</v>
          </cell>
          <cell r="G11">
            <v>9698039.7837726735</v>
          </cell>
          <cell r="H11">
            <v>830644.59977770736</v>
          </cell>
        </row>
        <row r="12">
          <cell r="A12">
            <v>44713</v>
          </cell>
          <cell r="B12">
            <v>4099.26</v>
          </cell>
          <cell r="C12">
            <v>4099.26</v>
          </cell>
          <cell r="D12">
            <v>48968.568805764342</v>
          </cell>
          <cell r="E12">
            <v>950762.48687366548</v>
          </cell>
          <cell r="F12">
            <v>21.128409090909091</v>
          </cell>
          <cell r="G12">
            <v>11104983.887868512</v>
          </cell>
          <cell r="H12">
            <v>955117.64230254572</v>
          </cell>
        </row>
        <row r="13">
          <cell r="A13">
            <v>44805</v>
          </cell>
          <cell r="B13">
            <v>4245.78</v>
          </cell>
          <cell r="C13">
            <v>4245.78</v>
          </cell>
          <cell r="D13">
            <v>69738.444432646938</v>
          </cell>
          <cell r="E13">
            <v>1159872.1494074161</v>
          </cell>
          <cell r="F13">
            <v>19.554318181818179</v>
          </cell>
          <cell r="G13">
            <v>15238984.568565637</v>
          </cell>
          <cell r="H13">
            <v>1012007.2921562471</v>
          </cell>
        </row>
        <row r="14">
          <cell r="A14">
            <v>44896</v>
          </cell>
          <cell r="B14">
            <v>5197.37</v>
          </cell>
          <cell r="C14">
            <v>5197.37</v>
          </cell>
          <cell r="D14">
            <v>59574.818521501271</v>
          </cell>
          <cell r="E14">
            <v>1335905.4074401341</v>
          </cell>
          <cell r="F14">
            <v>14.225681818181817</v>
          </cell>
          <cell r="G14">
            <v>19085781.306538139</v>
          </cell>
          <cell r="H14">
            <v>1082961.8612254788</v>
          </cell>
        </row>
        <row r="15">
          <cell r="A15">
            <v>44986</v>
          </cell>
          <cell r="B15">
            <v>4797.2299999999996</v>
          </cell>
          <cell r="C15">
            <v>4797.2299999999996</v>
          </cell>
          <cell r="D15">
            <v>54508.226142164676</v>
          </cell>
          <cell r="E15">
            <v>1369359.4319476932</v>
          </cell>
          <cell r="F15">
            <v>14.35464285714286</v>
          </cell>
          <cell r="G15">
            <v>23472029.381664127</v>
          </cell>
          <cell r="H15">
            <v>1144457.9223950868</v>
          </cell>
        </row>
        <row r="16">
          <cell r="A16">
            <v>45078</v>
          </cell>
          <cell r="B16">
            <v>5197.37</v>
          </cell>
          <cell r="C16">
            <v>5197.37</v>
          </cell>
          <cell r="D16">
            <v>70178.798810089414</v>
          </cell>
          <cell r="E16">
            <v>1666038.5811597346</v>
          </cell>
          <cell r="F16">
            <v>11.180476190476192</v>
          </cell>
          <cell r="G16">
            <v>25821331.049052782</v>
          </cell>
          <cell r="H16">
            <v>1548174.4231967386</v>
          </cell>
        </row>
        <row r="17">
          <cell r="A17">
            <v>45170</v>
          </cell>
          <cell r="B17">
            <v>5941.18</v>
          </cell>
          <cell r="C17">
            <v>5941.18</v>
          </cell>
          <cell r="D17">
            <v>93248.859006593659</v>
          </cell>
          <cell r="E17">
            <v>1872309.326720899</v>
          </cell>
          <cell r="F17">
            <v>11.197125</v>
          </cell>
          <cell r="G17">
            <v>35680434.778807446</v>
          </cell>
          <cell r="H17">
            <v>1682162.4394328308</v>
          </cell>
        </row>
        <row r="18">
          <cell r="A18">
            <v>45261</v>
          </cell>
          <cell r="B18">
            <v>6636.76</v>
          </cell>
          <cell r="C18">
            <v>6636.76</v>
          </cell>
          <cell r="D18">
            <v>119557.19901648766</v>
          </cell>
          <cell r="E18">
            <v>2102335.7054934455</v>
          </cell>
          <cell r="F18">
            <v>13.512874999999999</v>
          </cell>
          <cell r="G18">
            <v>44922456.588374816</v>
          </cell>
          <cell r="H18">
            <v>1773545.1178908767</v>
          </cell>
        </row>
        <row r="19">
          <cell r="A19">
            <v>45352</v>
          </cell>
          <cell r="B19">
            <v>8818.99</v>
          </cell>
          <cell r="C19">
            <v>8818.99</v>
          </cell>
          <cell r="D19">
            <v>116014.91521431155</v>
          </cell>
          <cell r="E19">
            <v>2138084.9010960306</v>
          </cell>
          <cell r="F19">
            <v>13.756842105263157</v>
          </cell>
          <cell r="G19">
            <v>48237727.605657011</v>
          </cell>
          <cell r="H19">
            <v>1865547.3766541586</v>
          </cell>
        </row>
        <row r="20">
          <cell r="A20">
            <v>45444</v>
          </cell>
          <cell r="B20">
            <v>9130.2800000000007</v>
          </cell>
          <cell r="C20">
            <v>9130.2800000000007</v>
          </cell>
          <cell r="D20">
            <v>172986.73988465717</v>
          </cell>
          <cell r="E20">
            <v>2356652.8165251957</v>
          </cell>
          <cell r="F20">
            <v>15.562368421052632</v>
          </cell>
          <cell r="G20">
            <v>49681649.52909065</v>
          </cell>
          <cell r="H20">
            <v>2256819.4668987463</v>
          </cell>
        </row>
        <row r="21">
          <cell r="A21">
            <v>45536</v>
          </cell>
          <cell r="B21">
            <v>9428.5499999999993</v>
          </cell>
          <cell r="C21">
            <v>9428.5499999999993</v>
          </cell>
          <cell r="D21">
            <v>135382.62796746386</v>
          </cell>
          <cell r="E21">
            <v>2765841.1152776815</v>
          </cell>
          <cell r="F21">
            <v>13.286547619047621</v>
          </cell>
          <cell r="G21">
            <v>53700455.66813837</v>
          </cell>
          <cell r="H21">
            <v>2420274.6484999573</v>
          </cell>
        </row>
        <row r="22">
          <cell r="A22">
            <v>45627</v>
          </cell>
          <cell r="B22">
            <v>11673.78</v>
          </cell>
          <cell r="C22">
            <v>11673.78</v>
          </cell>
          <cell r="D22">
            <v>114638.54966888631</v>
          </cell>
          <cell r="E22">
            <v>2486473.8460738845</v>
          </cell>
          <cell r="F22">
            <v>14.020714285714288</v>
          </cell>
          <cell r="G22">
            <v>29443405.969990078</v>
          </cell>
          <cell r="H22">
            <v>2464461.9123678887</v>
          </cell>
        </row>
        <row r="23">
          <cell r="A23">
            <v>45717</v>
          </cell>
          <cell r="B23">
            <v>11978.58</v>
          </cell>
          <cell r="C23">
            <v>11978.58</v>
          </cell>
          <cell r="D23">
            <v>107611.92790112307</v>
          </cell>
          <cell r="E23">
            <v>2231725.2157410216</v>
          </cell>
          <cell r="F23">
            <v>13.443684210526316</v>
          </cell>
          <cell r="G23">
            <v>35163822.061157756</v>
          </cell>
          <cell r="H23">
            <v>2395941.8702872782</v>
          </cell>
        </row>
        <row r="24">
          <cell r="A24">
            <v>45809</v>
          </cell>
          <cell r="B24">
            <v>12226.74</v>
          </cell>
          <cell r="C24">
            <v>12226.74</v>
          </cell>
          <cell r="D24">
            <v>127477.67025679621</v>
          </cell>
          <cell r="E24">
            <v>2268537.784506951</v>
          </cell>
          <cell r="F24">
            <v>14.310952380952379</v>
          </cell>
          <cell r="G24">
            <v>33407874.641389899</v>
          </cell>
          <cell r="H24">
            <v>2224845.0720832911</v>
          </cell>
        </row>
        <row r="25">
          <cell r="A25">
            <v>45901</v>
          </cell>
          <cell r="B25">
            <v>12487.43</v>
          </cell>
          <cell r="C25">
            <v>12487.43</v>
          </cell>
          <cell r="D25">
            <v>111678.46988357695</v>
          </cell>
          <cell r="E25">
            <v>2374375.3588008792</v>
          </cell>
          <cell r="F25">
            <v>10.67909090909091</v>
          </cell>
          <cell r="G25">
            <v>42184354.376300566</v>
          </cell>
          <cell r="H25">
            <v>2249667.7950876318</v>
          </cell>
        </row>
        <row r="26">
          <cell r="A26">
            <v>45992</v>
          </cell>
          <cell r="B26">
            <v>12734.12</v>
          </cell>
          <cell r="C26">
            <v>12734.12</v>
          </cell>
          <cell r="D26">
            <v>106721.82544598352</v>
          </cell>
          <cell r="E26">
            <v>2530015.2321747434</v>
          </cell>
          <cell r="F26">
            <v>10.198636363636366</v>
          </cell>
          <cell r="G26">
            <v>45842841.411619477</v>
          </cell>
          <cell r="H26">
            <v>2330186.4398257677</v>
          </cell>
        </row>
        <row r="27">
          <cell r="A27">
            <v>46082</v>
          </cell>
          <cell r="B27">
            <v>13027.77</v>
          </cell>
          <cell r="C27">
            <v>13027.77</v>
          </cell>
          <cell r="D27">
            <v>139705.77101351085</v>
          </cell>
          <cell r="E27">
            <v>2232933.9561253428</v>
          </cell>
          <cell r="F27">
            <v>22.106842105263155</v>
          </cell>
          <cell r="G27">
            <v>50037399.074213259</v>
          </cell>
          <cell r="H27">
            <v>2346957.2887160419</v>
          </cell>
        </row>
        <row r="28">
          <cell r="A28">
            <v>46174</v>
          </cell>
          <cell r="B28">
            <v>13361.94</v>
          </cell>
          <cell r="C28">
            <v>13361.94</v>
          </cell>
          <cell r="D28">
            <v>146663.0596976894</v>
          </cell>
          <cell r="E28">
            <v>2694381.3974901233</v>
          </cell>
          <cell r="F28">
            <v>14.542857142857144</v>
          </cell>
          <cell r="G28">
            <v>47773433.795056321</v>
          </cell>
          <cell r="H28">
            <v>2400867.0332066305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237B-704C-4831-BDB6-2117E3AF529D}">
  <dimension ref="A1:G41"/>
  <sheetViews>
    <sheetView tabSelected="1" workbookViewId="0">
      <selection activeCell="J5" sqref="J5"/>
    </sheetView>
  </sheetViews>
  <sheetFormatPr defaultRowHeight="14.5" x14ac:dyDescent="0.35"/>
  <cols>
    <col min="3" max="3" width="8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43891</v>
      </c>
      <c r="B2">
        <v>8.0548815031958743</v>
      </c>
      <c r="C2">
        <v>13.952593246459271</v>
      </c>
      <c r="D2">
        <v>12.442513116498427</v>
      </c>
      <c r="E2">
        <v>10.89776594261525</v>
      </c>
      <c r="F2">
        <v>3.971490655690026</v>
      </c>
      <c r="G2">
        <f>LN(VLOOKUP(A2,[1]SGF_K_RATIO_OI_YTDOI!$A$3:$H$28,8,0))</f>
        <v>12.715640621087557</v>
      </c>
    </row>
    <row r="3" spans="1:7" x14ac:dyDescent="0.35">
      <c r="A3" s="1">
        <v>43983</v>
      </c>
      <c r="B3">
        <v>8.0914008784451372</v>
      </c>
      <c r="C3">
        <v>14.32178904108372</v>
      </c>
      <c r="D3">
        <v>12.615819127028461</v>
      </c>
      <c r="E3">
        <v>11.131709573823855</v>
      </c>
      <c r="F3">
        <v>3.4090866340560333</v>
      </c>
      <c r="G3">
        <f>LN(VLOOKUP(A3,[1]SGF_K_RATIO_OI_YTDOI!$A$3:$H$28,8,0))</f>
        <v>12.403061752938456</v>
      </c>
    </row>
    <row r="4" spans="1:7" x14ac:dyDescent="0.35">
      <c r="A4" s="1">
        <v>44075</v>
      </c>
      <c r="B4">
        <v>8.1257227002477421</v>
      </c>
      <c r="C4">
        <v>14.629514957190063</v>
      </c>
      <c r="D4">
        <v>12.859447223976007</v>
      </c>
      <c r="E4">
        <v>11.022014578979762</v>
      </c>
      <c r="F4">
        <v>3.0482762060221611</v>
      </c>
      <c r="G4">
        <f>LN(VLOOKUP(A4,[1]SGF_K_RATIO_OI_YTDOI!$A$3:$H$28,8,0))</f>
        <v>12.639297220031636</v>
      </c>
    </row>
    <row r="5" spans="1:7" x14ac:dyDescent="0.35">
      <c r="A5" s="1">
        <v>44166</v>
      </c>
      <c r="B5">
        <v>8.1520654804299735</v>
      </c>
      <c r="C5">
        <v>15.00445810738918</v>
      </c>
      <c r="D5">
        <v>13.158577833099081</v>
      </c>
      <c r="E5">
        <v>11.163554288706107</v>
      </c>
      <c r="F5">
        <v>2.9842346098348962</v>
      </c>
      <c r="G5">
        <f>LN(VLOOKUP(A5,[1]SGF_K_RATIO_OI_YTDOI!$A$3:$H$28,8,0))</f>
        <v>12.794637608317554</v>
      </c>
    </row>
    <row r="6" spans="1:7" x14ac:dyDescent="0.35">
      <c r="A6" s="1">
        <v>44256</v>
      </c>
      <c r="B6">
        <v>8.1685714475251014</v>
      </c>
      <c r="C6">
        <v>15.36066491684424</v>
      </c>
      <c r="D6">
        <v>13.282124382817216</v>
      </c>
      <c r="E6">
        <v>11.234445276463198</v>
      </c>
      <c r="F6">
        <v>3.0879044179883475</v>
      </c>
      <c r="G6">
        <f>LN(VLOOKUP(A6,[1]SGF_K_RATIO_OI_YTDOI!$A$3:$H$28,8,0))</f>
        <v>12.932634650813982</v>
      </c>
    </row>
    <row r="7" spans="1:7" x14ac:dyDescent="0.35">
      <c r="A7" s="1">
        <v>44348</v>
      </c>
      <c r="B7">
        <v>8.1971724832301511</v>
      </c>
      <c r="C7">
        <v>15.403654358589316</v>
      </c>
      <c r="D7">
        <v>13.446464253780798</v>
      </c>
      <c r="E7">
        <v>11.303416269533171</v>
      </c>
      <c r="F7">
        <v>2.7028244494031952</v>
      </c>
      <c r="G7">
        <f>LN(VLOOKUP(A7,[1]SGF_K_RATIO_OI_YTDOI!$A$3:$H$28,8,0))</f>
        <v>13.35243918611209</v>
      </c>
    </row>
    <row r="8" spans="1:7" x14ac:dyDescent="0.35">
      <c r="A8" s="1">
        <v>44440</v>
      </c>
      <c r="B8">
        <v>8.2230449247851869</v>
      </c>
      <c r="C8">
        <v>15.761830052402651</v>
      </c>
      <c r="D8">
        <v>13.724606780269768</v>
      </c>
      <c r="E8">
        <v>11.268264717004952</v>
      </c>
      <c r="F8">
        <v>2.7550322312041016</v>
      </c>
      <c r="G8">
        <f>LN(VLOOKUP(A8,[1]SGF_K_RATIO_OI_YTDOI!$A$3:$H$28,8,0))</f>
        <v>13.49247780116994</v>
      </c>
    </row>
    <row r="9" spans="1:7" x14ac:dyDescent="0.35">
      <c r="A9" s="1">
        <v>44531</v>
      </c>
      <c r="B9">
        <v>8.2575723602917552</v>
      </c>
      <c r="C9">
        <v>15.862046393138053</v>
      </c>
      <c r="D9">
        <v>13.734737865238939</v>
      </c>
      <c r="E9">
        <v>11.004315869047941</v>
      </c>
      <c r="F9">
        <v>2.843657336432166</v>
      </c>
      <c r="G9">
        <f>LN(VLOOKUP(A9,[1]SGF_K_RATIO_OI_YTDOI!$A$3:$H$28,8,0))</f>
        <v>13.582766824139659</v>
      </c>
    </row>
    <row r="10" spans="1:7" x14ac:dyDescent="0.35">
      <c r="A10" s="1">
        <v>44621</v>
      </c>
      <c r="B10">
        <v>8.2868361855837254</v>
      </c>
      <c r="C10">
        <v>16.087434338904711</v>
      </c>
      <c r="D10">
        <v>13.782116753052883</v>
      </c>
      <c r="E10">
        <v>11.200681855266204</v>
      </c>
      <c r="F10">
        <v>3.2220612222891112</v>
      </c>
      <c r="G10">
        <f>LN(VLOOKUP(A10,[1]SGF_K_RATIO_OI_YTDOI!$A$3:$H$28,8,0))</f>
        <v>13.629957304592875</v>
      </c>
    </row>
    <row r="11" spans="1:7" x14ac:dyDescent="0.35">
      <c r="A11" s="1">
        <v>44713</v>
      </c>
      <c r="B11">
        <v>8.318561748597638</v>
      </c>
      <c r="C11">
        <v>16.222904564419789</v>
      </c>
      <c r="D11">
        <v>13.765019559413085</v>
      </c>
      <c r="E11">
        <v>10.798933918330219</v>
      </c>
      <c r="F11">
        <v>3.0506185373078107</v>
      </c>
      <c r="G11">
        <f>LN(VLOOKUP(A11,[1]SGF_K_RATIO_OI_YTDOI!$A$3:$H$28,8,0))</f>
        <v>13.769589797533254</v>
      </c>
    </row>
    <row r="12" spans="1:7" x14ac:dyDescent="0.35">
      <c r="A12" s="1">
        <v>44805</v>
      </c>
      <c r="B12">
        <v>8.3536808274493346</v>
      </c>
      <c r="C12">
        <v>16.539367476643729</v>
      </c>
      <c r="D12">
        <v>13.963820340980226</v>
      </c>
      <c r="E12">
        <v>11.152507014742088</v>
      </c>
      <c r="F12">
        <v>2.9731961409066097</v>
      </c>
      <c r="G12">
        <f>LN(VLOOKUP(A12,[1]SGF_K_RATIO_OI_YTDOI!$A$3:$H$28,8,0))</f>
        <v>13.827446334491578</v>
      </c>
    </row>
    <row r="13" spans="1:7" x14ac:dyDescent="0.35">
      <c r="A13" s="1">
        <v>44896</v>
      </c>
      <c r="B13">
        <v>8.3967212940089873</v>
      </c>
      <c r="C13">
        <v>16.764454181575452</v>
      </c>
      <c r="D13">
        <v>14.10511982775782</v>
      </c>
      <c r="E13">
        <v>10.994988255743273</v>
      </c>
      <c r="F13">
        <v>2.6550489098431314</v>
      </c>
      <c r="G13">
        <f>LN(VLOOKUP(A13,[1]SGF_K_RATIO_OI_YTDOI!$A$3:$H$28,8,0))</f>
        <v>13.895210309504751</v>
      </c>
    </row>
    <row r="14" spans="1:7" x14ac:dyDescent="0.35">
      <c r="A14" s="1">
        <v>44986</v>
      </c>
      <c r="B14">
        <v>8.4757939469859735</v>
      </c>
      <c r="C14">
        <v>16.971320031139172</v>
      </c>
      <c r="D14">
        <v>14.129853620538951</v>
      </c>
      <c r="E14">
        <v>10.906106907649626</v>
      </c>
      <c r="F14">
        <v>2.6640734339283076</v>
      </c>
      <c r="G14">
        <f>LN(VLOOKUP(A14,[1]SGF_K_RATIO_OI_YTDOI!$A$3:$H$28,8,0))</f>
        <v>13.950441652644374</v>
      </c>
    </row>
    <row r="15" spans="1:7" x14ac:dyDescent="0.35">
      <c r="A15" s="1">
        <v>45078</v>
      </c>
      <c r="B15">
        <v>8.5559080073943505</v>
      </c>
      <c r="C15">
        <v>17.066711493140534</v>
      </c>
      <c r="D15">
        <v>14.325959259399808</v>
      </c>
      <c r="E15">
        <v>11.158801533147033</v>
      </c>
      <c r="F15">
        <v>2.4141690598857433</v>
      </c>
      <c r="G15">
        <f>LN(VLOOKUP(A15,[1]SGF_K_RATIO_OI_YTDOI!$A$3:$H$28,8,0))</f>
        <v>14.252587003267973</v>
      </c>
    </row>
    <row r="16" spans="1:7" x14ac:dyDescent="0.35">
      <c r="A16" s="1">
        <v>45170</v>
      </c>
      <c r="B16">
        <v>8.6896630458264106</v>
      </c>
      <c r="C16">
        <v>17.390113051106532</v>
      </c>
      <c r="D16">
        <v>14.442683161002234</v>
      </c>
      <c r="E16">
        <v>11.44302710157698</v>
      </c>
      <c r="F16">
        <v>2.41565704892031</v>
      </c>
      <c r="G16">
        <f>LN(VLOOKUP(A16,[1]SGF_K_RATIO_OI_YTDOI!$A$3:$H$28,8,0))</f>
        <v>14.335590690020101</v>
      </c>
    </row>
    <row r="17" spans="1:7" x14ac:dyDescent="0.35">
      <c r="A17" s="1">
        <v>45261</v>
      </c>
      <c r="B17">
        <v>8.8003791715760276</v>
      </c>
      <c r="C17">
        <v>17.620448374415197</v>
      </c>
      <c r="D17">
        <v>14.558559525323377</v>
      </c>
      <c r="E17">
        <v>11.691550188693602</v>
      </c>
      <c r="F17">
        <v>2.603642934661651</v>
      </c>
      <c r="G17">
        <f>LN(VLOOKUP(A17,[1]SGF_K_RATIO_OI_YTDOI!$A$3:$H$28,8,0))</f>
        <v>14.388490992900909</v>
      </c>
    </row>
    <row r="18" spans="1:7" x14ac:dyDescent="0.35">
      <c r="A18" s="1">
        <v>45352</v>
      </c>
      <c r="B18">
        <v>9.0846626299721276</v>
      </c>
      <c r="C18">
        <v>17.691652003254962</v>
      </c>
      <c r="D18">
        <v>14.575421080300684</v>
      </c>
      <c r="E18">
        <v>11.661474041256595</v>
      </c>
      <c r="F18">
        <v>2.6215363080024492</v>
      </c>
      <c r="G18">
        <f>LN(VLOOKUP(A18,[1]SGF_K_RATIO_OI_YTDOI!$A$3:$H$28,8,0))</f>
        <v>14.439065067543952</v>
      </c>
    </row>
    <row r="19" spans="1:7" x14ac:dyDescent="0.35">
      <c r="A19" s="1">
        <v>45444</v>
      </c>
      <c r="B19">
        <v>9.1193516412458102</v>
      </c>
      <c r="C19">
        <v>17.721146198119822</v>
      </c>
      <c r="D19">
        <v>14.672752872182508</v>
      </c>
      <c r="E19">
        <v>12.060970222476737</v>
      </c>
      <c r="F19">
        <v>2.7448557193170635</v>
      </c>
      <c r="G19">
        <f>LN(VLOOKUP(A19,[1]SGF_K_RATIO_OI_YTDOI!$A$3:$H$28,8,0))</f>
        <v>14.629467064518376</v>
      </c>
    </row>
    <row r="20" spans="1:7" x14ac:dyDescent="0.35">
      <c r="A20" s="1">
        <v>45536</v>
      </c>
      <c r="B20">
        <v>9.1514975992233936</v>
      </c>
      <c r="C20">
        <v>17.798932044883284</v>
      </c>
      <c r="D20">
        <v>14.832855347502637</v>
      </c>
      <c r="E20">
        <v>11.815860329659271</v>
      </c>
      <c r="F20">
        <v>2.5867520661452108</v>
      </c>
      <c r="G20">
        <f>LN(VLOOKUP(A20,[1]SGF_K_RATIO_OI_YTDOI!$A$3:$H$28,8,0))</f>
        <v>14.699391582808925</v>
      </c>
    </row>
    <row r="21" spans="1:7" x14ac:dyDescent="0.35">
      <c r="A21" s="1">
        <v>45627</v>
      </c>
      <c r="B21">
        <v>9.3651005802889191</v>
      </c>
      <c r="C21">
        <v>17.197980537048579</v>
      </c>
      <c r="D21">
        <v>14.72637613871197</v>
      </c>
      <c r="E21">
        <v>11.649539411243435</v>
      </c>
      <c r="F21">
        <v>2.6405358279344986</v>
      </c>
      <c r="G21">
        <f>LN(VLOOKUP(A21,[1]SGF_K_RATIO_OI_YTDOI!$A$3:$H$28,8,0))</f>
        <v>14.717484050501305</v>
      </c>
    </row>
    <row r="22" spans="1:7" x14ac:dyDescent="0.35">
      <c r="A22" s="1">
        <v>45717</v>
      </c>
      <c r="B22">
        <v>9.3908753337592916</v>
      </c>
      <c r="C22">
        <v>17.375528329684396</v>
      </c>
      <c r="D22">
        <v>14.618285483677388</v>
      </c>
      <c r="E22">
        <v>11.586286774665616</v>
      </c>
      <c r="F22">
        <v>2.598509420337229</v>
      </c>
      <c r="G22">
        <f>LN(VLOOKUP(A22,[1]SGF_K_RATIO_OI_YTDOI!$A$3:$H$28,8,0))</f>
        <v>14.689286976774289</v>
      </c>
    </row>
    <row r="23" spans="1:7" x14ac:dyDescent="0.35">
      <c r="A23" s="1">
        <v>45809</v>
      </c>
      <c r="B23">
        <v>9.4113806355032796</v>
      </c>
      <c r="C23">
        <v>17.324302197864377</v>
      </c>
      <c r="D23">
        <v>14.634646034110967</v>
      </c>
      <c r="E23">
        <v>11.755696493001837</v>
      </c>
      <c r="F23">
        <v>2.6610251448794449</v>
      </c>
      <c r="G23">
        <f>LN(VLOOKUP(A23,[1]SGF_K_RATIO_OI_YTDOI!$A$3:$H$28,8,0))</f>
        <v>14.615197840633797</v>
      </c>
    </row>
    <row r="24" spans="1:7" x14ac:dyDescent="0.35">
      <c r="A24" s="1">
        <v>45901</v>
      </c>
      <c r="B24">
        <v>9.4324778173354922</v>
      </c>
      <c r="C24">
        <v>17.557559960884934</v>
      </c>
      <c r="D24">
        <v>14.680244954037837</v>
      </c>
      <c r="E24">
        <v>11.623379217003137</v>
      </c>
      <c r="F24">
        <v>2.3682877090374239</v>
      </c>
      <c r="G24">
        <f>LN(VLOOKUP(A24,[1]SGF_K_RATIO_OI_YTDOI!$A$3:$H$28,8,0))</f>
        <v>14.626293116652047</v>
      </c>
    </row>
    <row r="25" spans="1:7" x14ac:dyDescent="0.35">
      <c r="A25" s="1">
        <v>45992</v>
      </c>
      <c r="B25">
        <v>9.4520402841229565</v>
      </c>
      <c r="C25">
        <v>17.640729613869013</v>
      </c>
      <c r="D25">
        <v>14.743735881308007</v>
      </c>
      <c r="E25">
        <v>11.577980966006756</v>
      </c>
      <c r="F25">
        <v>2.3222540215133702</v>
      </c>
      <c r="G25">
        <f>LN(VLOOKUP(A25,[1]SGF_K_RATIO_OI_YTDOI!$A$3:$H$28,8,0))</f>
        <v>14.661458839433291</v>
      </c>
    </row>
    <row r="26" spans="1:7" x14ac:dyDescent="0.35">
      <c r="A26" s="1">
        <v>46082</v>
      </c>
      <c r="B26">
        <v>9.4748385119572021</v>
      </c>
      <c r="C26">
        <v>17.72828126527795</v>
      </c>
      <c r="D26">
        <v>14.61882695408636</v>
      </c>
      <c r="E26">
        <v>11.847293854438423</v>
      </c>
      <c r="F26">
        <v>3.0958871581315028</v>
      </c>
      <c r="G26">
        <f>LN(VLOOKUP(A26,[1]SGF_K_RATIO_OI_YTDOI!$A$3:$H$28,8,0))</f>
        <v>14.668630276421316</v>
      </c>
    </row>
    <row r="27" spans="1:7" x14ac:dyDescent="0.35">
      <c r="A27" s="1">
        <v>46174</v>
      </c>
      <c r="B27">
        <v>9.5001656461295845</v>
      </c>
      <c r="C27">
        <v>17.68198026461355</v>
      </c>
      <c r="D27">
        <v>14.806679198868144</v>
      </c>
      <c r="E27">
        <v>11.895893123953623</v>
      </c>
      <c r="F27">
        <v>2.677099955061109</v>
      </c>
      <c r="G27">
        <f>LN(VLOOKUP(A27,[1]SGF_K_RATIO_OI_YTDOI!$A$3:$H$28,8,0))</f>
        <v>14.691340493914202</v>
      </c>
    </row>
    <row r="28" spans="1:7" x14ac:dyDescent="0.35">
      <c r="A28" s="1"/>
    </row>
    <row r="29" spans="1:7" x14ac:dyDescent="0.35">
      <c r="A29" s="1"/>
    </row>
    <row r="30" spans="1:7" x14ac:dyDescent="0.35">
      <c r="A30" s="1"/>
    </row>
    <row r="31" spans="1:7" x14ac:dyDescent="0.35">
      <c r="A31" s="1"/>
    </row>
    <row r="32" spans="1:7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2026-09-04T17:18:57Z</dcterms:created>
  <dcterms:modified xsi:type="dcterms:W3CDTF">2026-10-08T06:02:56Z</dcterms:modified>
</cp:coreProperties>
</file>